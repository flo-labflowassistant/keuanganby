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ing" sheetId="1" r:id="rId5"/>
    <sheet state="visible" name="Spending Tracker" sheetId="2" r:id="rId6"/>
    <sheet state="visible" name="Report" sheetId="3" r:id="rId7"/>
    <sheet state="visible" name="Summary" sheetId="4" r:id="rId8"/>
    <sheet state="visible" name="Konfigurasi ⚙" sheetId="5" r:id="rId9"/>
  </sheets>
  <definedNames/>
  <calcPr/>
</workbook>
</file>

<file path=xl/sharedStrings.xml><?xml version="1.0" encoding="utf-8"?>
<sst xmlns="http://schemas.openxmlformats.org/spreadsheetml/2006/main" count="333" uniqueCount="122">
  <si>
    <t>Month</t>
  </si>
  <si>
    <t>Account</t>
  </si>
  <si>
    <t>Main Category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</si>
  <si>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</si>
  <si>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</si>
  <si>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</si>
  <si>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</si>
  <si>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</si>
  <si>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</si>
  <si>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</si>
  <si>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</si>
  <si>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</si>
  <si>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</si>
  <si>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</si>
  <si>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Desember</t>
  </si>
  <si>
    <t>Income Sources</t>
  </si>
  <si>
    <t>Total Income</t>
  </si>
  <si>
    <t>,</t>
  </si>
  <si>
    <t>Saving List</t>
  </si>
  <si>
    <t>Bank Mandiri 2</t>
  </si>
  <si>
    <t>Bank Mandiri</t>
  </si>
  <si>
    <t>Total Savings</t>
  </si>
  <si>
    <t>Grand Total</t>
  </si>
  <si>
    <t>Budgeting List</t>
  </si>
  <si>
    <t>Total</t>
  </si>
  <si>
    <t>Allocated Money</t>
  </si>
  <si>
    <t>Non-allocated Money</t>
  </si>
  <si>
    <t>Spending Tracker</t>
  </si>
  <si>
    <t xml:space="preserve"> ✔</t>
  </si>
  <si>
    <t>Date</t>
  </si>
  <si>
    <t>Description</t>
  </si>
  <si>
    <t>Category</t>
  </si>
  <si>
    <t>Transfer</t>
  </si>
  <si>
    <t>Sedekah</t>
  </si>
  <si>
    <t>Lainnya</t>
  </si>
  <si>
    <t xml:space="preserve">Fee Transfer </t>
  </si>
  <si>
    <t>Gojek</t>
  </si>
  <si>
    <t>KRL</t>
  </si>
  <si>
    <t>Telur dll</t>
  </si>
  <si>
    <t>Jajan</t>
  </si>
  <si>
    <t>Makanan</t>
  </si>
  <si>
    <t>Skincare + Make up</t>
  </si>
  <si>
    <t>Skincare</t>
  </si>
  <si>
    <t>Bensin</t>
  </si>
  <si>
    <t>Dimsum</t>
  </si>
  <si>
    <t>Kuota Cely</t>
  </si>
  <si>
    <t>Udunan Ka DTU</t>
  </si>
  <si>
    <t>Udunan Ka PEM</t>
  </si>
  <si>
    <t>Moisturizer</t>
  </si>
  <si>
    <t>Restock</t>
  </si>
  <si>
    <t xml:space="preserve">Stok Jajan </t>
  </si>
  <si>
    <t>Bioskop</t>
  </si>
  <si>
    <t>Self-reward</t>
  </si>
  <si>
    <t xml:space="preserve">Popcorn </t>
  </si>
  <si>
    <t>Jajan main aeon</t>
  </si>
  <si>
    <t>Eskrim</t>
  </si>
  <si>
    <t>Mam</t>
  </si>
  <si>
    <t>Stirrer</t>
  </si>
  <si>
    <t>Batre</t>
  </si>
  <si>
    <t>Soptek</t>
  </si>
  <si>
    <t>LRT</t>
  </si>
  <si>
    <t>Infaq</t>
  </si>
  <si>
    <t>J.CO</t>
  </si>
  <si>
    <t>Teratu</t>
  </si>
  <si>
    <t>Nginep Cely</t>
  </si>
  <si>
    <t>Kos</t>
  </si>
  <si>
    <t>Grab</t>
  </si>
  <si>
    <t>Ongkos</t>
  </si>
  <si>
    <t>Kuota</t>
  </si>
  <si>
    <t>Fee Transfer</t>
  </si>
  <si>
    <t>Kado Aa</t>
  </si>
  <si>
    <t>Buah</t>
  </si>
  <si>
    <t>Sendal</t>
  </si>
  <si>
    <t>Jajan Indomaret</t>
  </si>
  <si>
    <t>Koko Azqa</t>
  </si>
  <si>
    <t>Udunan</t>
  </si>
  <si>
    <t>Sendal Kaka</t>
  </si>
  <si>
    <t>Udunan ka LVR</t>
  </si>
  <si>
    <t xml:space="preserve">Buah </t>
  </si>
  <si>
    <t>Jus</t>
  </si>
  <si>
    <t>Cibay</t>
  </si>
  <si>
    <t>Kereta</t>
  </si>
  <si>
    <t>Admin bank</t>
  </si>
  <si>
    <t xml:space="preserve">  Money Management Dashboard 💸</t>
  </si>
  <si>
    <t>Year :</t>
  </si>
  <si>
    <t>Month :</t>
  </si>
  <si>
    <t>Monthly Report 📊</t>
  </si>
  <si>
    <t>Expenses</t>
  </si>
  <si>
    <t>Allocation 💰</t>
  </si>
  <si>
    <t>Realization 💸</t>
  </si>
  <si>
    <t>Budget Usage Progress</t>
  </si>
  <si>
    <t>% Usage</t>
  </si>
  <si>
    <t>Expense Realization Price</t>
  </si>
  <si>
    <t xml:space="preserve">                                                     Monthly Expense Trend</t>
  </si>
  <si>
    <t>December</t>
  </si>
  <si>
    <t>Melanie Despitasari</t>
  </si>
  <si>
    <t>Budgeting Summary</t>
  </si>
  <si>
    <t>Needs</t>
  </si>
  <si>
    <t>Wants</t>
  </si>
  <si>
    <t>Non-allocated</t>
  </si>
  <si>
    <t>E-wallet</t>
  </si>
  <si>
    <t>Savings</t>
  </si>
  <si>
    <t>Usage Percentage</t>
  </si>
  <si>
    <t>Expenses List</t>
  </si>
  <si>
    <t>Allocation</t>
  </si>
  <si>
    <t>Percentage</t>
  </si>
  <si>
    <t>✔</t>
  </si>
  <si>
    <t>General Savings</t>
  </si>
  <si>
    <t>Emergency</t>
  </si>
  <si>
    <t>Self-Reward</t>
  </si>
  <si>
    <t>Payday</t>
  </si>
  <si>
    <t>Daftar Kategori</t>
  </si>
  <si>
    <t>Daftar Akun</t>
  </si>
  <si>
    <t>Sumber Pemasukan</t>
  </si>
  <si>
    <t>Tujuan Tabungan</t>
  </si>
  <si>
    <t>Kategori Pengeluaran</t>
  </si>
  <si>
    <t>Klasifikasi</t>
  </si>
  <si>
    <t>Nama Akun</t>
  </si>
  <si>
    <t>Sumber</t>
  </si>
  <si>
    <t>Tujuan</t>
  </si>
  <si>
    <t>Monthly Salary</t>
  </si>
  <si>
    <t>Freelance/Business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</si>
</sst>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p]#,##0"/>
    <numFmt numFmtId="165" formatCode="dd&quot;/&quot;mm&quot;/&quot;yy"/>
    <numFmt numFmtId="166" formatCode="dd/mm/yy"/>
  </numFmts>
  <fonts count="2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Poppins"/>
    </font>
    <font>
      <b/>
      <color theme="1"/>
      <name val="Poppins"/>
    </font>
    <font>
      <b/>
      <sz val="10.0"/>
      <color theme="1"/>
      <name val="Poppins"/>
    </font>
    <font>
      <b/>
      <sz val="16.0"/>
      <color rgb="FFE96479"/>
      <name val="Poppins"/>
    </font>
    <font>
      <u/>
      <color rgb="FF0000FF"/>
      <name val="Poppins"/>
    </font>
    <font>
      <b/>
      <sz val="16.0"/>
      <color rgb="FF54BAB9"/>
      <name val="Poppins"/>
    </font>
    <font>
      <b/>
      <color rgb="FF434343"/>
      <name val="Poppins"/>
    </font>
    <font>
      <b/>
      <sz val="12.0"/>
      <color rgb="FFF3F3F3"/>
      <name val="Poppins"/>
    </font>
    <font>
      <b/>
      <sz val="9.0"/>
      <color rgb="FFFFFFFF"/>
      <name val="Poppins"/>
    </font>
    <font>
      <b/>
      <color rgb="FFFFFFFF"/>
      <name val="Poppins"/>
    </font>
    <font/>
    <font>
      <color rgb="FF434343"/>
      <name val="Poppins"/>
    </font>
    <font>
      <b/>
      <color rgb="FFE06666"/>
      <name val="Poppins"/>
    </font>
    <font>
      <sz val="16.0"/>
      <color theme="1"/>
      <name val="Arial"/>
      <scheme val="minor"/>
    </font>
    <font>
      <b/>
      <sz val="16.0"/>
      <color rgb="FF009990"/>
      <name val="Poppins"/>
    </font>
    <font>
      <b/>
      <color rgb="FFF3F3F3"/>
      <name val="Poppins"/>
    </font>
    <font>
      <b/>
      <color rgb="FF000000"/>
      <name val="Poppins"/>
    </font>
    <font>
      <b/>
      <sz val="10.0"/>
      <color rgb="FF434343"/>
      <name val="Poppins"/>
    </font>
    <font>
      <color rgb="FF6AA84F"/>
      <name val="Arial"/>
      <scheme val="minor"/>
    </font>
    <font>
      <color theme="1"/>
      <name val="Lato"/>
    </font>
    <font>
      <color rgb="FFFFFFFF"/>
      <name val="Poppins"/>
    </font>
    <font>
      <sz val="11.0"/>
      <color rgb="FF434343"/>
      <name val="Poppins"/>
    </font>
  </fonts>
  <fills count="20">
    <fill>
      <patternFill patternType="none"/>
    </fill>
    <fill>
      <patternFill patternType="lightGray"/>
    </fill>
    <fill>
      <patternFill patternType="solid">
        <fgColor rgb="FFE5E1DA"/>
        <bgColor rgb="FFE5E1DA"/>
      </patternFill>
    </fill>
    <fill>
      <patternFill patternType="solid">
        <fgColor rgb="FFFFD966"/>
        <bgColor rgb="FFFFD966"/>
      </patternFill>
    </fill>
    <fill>
      <patternFill patternType="solid">
        <fgColor rgb="FFBDCDD6"/>
        <bgColor rgb="FFBDCDD6"/>
      </patternFill>
    </fill>
    <fill>
      <patternFill patternType="solid">
        <fgColor rgb="FFE4A0F7"/>
        <bgColor rgb="FFE4A0F7"/>
      </patternFill>
    </fill>
    <fill>
      <patternFill patternType="solid">
        <fgColor rgb="FF7BD3EA"/>
        <bgColor rgb="FF7BD3EA"/>
      </patternFill>
    </fill>
    <fill>
      <patternFill patternType="solid">
        <fgColor rgb="FFF0EBE3"/>
        <bgColor rgb="FFF0EBE3"/>
      </patternFill>
    </fill>
    <fill>
      <patternFill patternType="solid">
        <fgColor rgb="FFFF9EAA"/>
        <bgColor rgb="FFFF9EAA"/>
      </patternFill>
    </fill>
    <fill>
      <patternFill patternType="solid">
        <fgColor rgb="FFE4DCCF"/>
        <bgColor rgb="FFE4DCCF"/>
      </patternFill>
    </fill>
    <fill>
      <patternFill patternType="solid">
        <fgColor rgb="FFEFEFEF"/>
        <bgColor rgb="FFEFEFEF"/>
      </patternFill>
    </fill>
    <fill>
      <patternFill patternType="solid">
        <fgColor rgb="FFC706D0"/>
        <bgColor rgb="FFC706D0"/>
      </patternFill>
    </fill>
    <fill>
      <patternFill patternType="solid">
        <fgColor rgb="FF54BAB9"/>
        <bgColor rgb="FF54BAB9"/>
      </patternFill>
    </fill>
    <fill>
      <patternFill patternType="solid">
        <fgColor rgb="FF33CDCF"/>
        <bgColor rgb="FF33CDCF"/>
      </patternFill>
    </fill>
    <fill>
      <patternFill patternType="solid">
        <fgColor rgb="FFEEE9DA"/>
        <bgColor rgb="FFEEE9DA"/>
      </patternFill>
    </fill>
    <fill>
      <patternFill patternType="solid">
        <fgColor rgb="FFEDDBC7"/>
        <bgColor rgb="FFEDDBC7"/>
      </patternFill>
    </fill>
    <fill>
      <patternFill patternType="solid">
        <fgColor rgb="FFE06666"/>
        <bgColor rgb="FFE06666"/>
      </patternFill>
    </fill>
    <fill>
      <patternFill patternType="solid">
        <fgColor rgb="FF4A86E8"/>
        <bgColor rgb="FF4A86E8"/>
      </patternFill>
    </fill>
    <fill>
      <patternFill patternType="solid">
        <fgColor rgb="FF00B88C"/>
        <bgColor rgb="FF00B88C"/>
      </patternFill>
    </fill>
    <fill>
      <patternFill patternType="solid">
        <fgColor rgb="FFCCCCCC"/>
        <bgColor rgb="FFCCCCCC"/>
      </patternFill>
    </fill>
  </fills>
  <borders count="18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ck">
        <color rgb="FFC7C7C7"/>
      </bottom>
    </border>
    <border>
      <left style="medium">
        <color rgb="FFB7B7B7"/>
      </left>
      <right style="medium">
        <color rgb="FFB7B7B7"/>
      </right>
      <top style="medium">
        <color rgb="FFB7B7B7"/>
      </top>
      <bottom style="thin">
        <color rgb="FFB7B7B7"/>
      </bottom>
    </border>
    <border>
      <left style="medium">
        <color rgb="FFB7B7B7"/>
      </left>
      <right style="medium">
        <color rgb="FFB7B7B7"/>
      </right>
      <top style="medium">
        <color rgb="FFB7B7B7"/>
      </top>
      <bottom style="medium">
        <color rgb="FFB7B7B7"/>
      </bottom>
    </border>
    <border>
      <left style="medium">
        <color rgb="FFB7B7B7"/>
      </left>
      <right style="medium">
        <color rgb="FFB7B7B7"/>
      </right>
      <bottom style="medium">
        <color rgb="FFB7B7B7"/>
      </bottom>
    </border>
    <border>
      <right style="thin">
        <color rgb="FFF3F3F3"/>
      </right>
    </border>
    <border>
      <left style="thin">
        <color rgb="FFEFEFEF"/>
      </left>
      <top style="thin">
        <color rgb="FFEFEFEF"/>
      </top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bottom style="thin">
        <color rgb="FFD9D9D9"/>
      </bottom>
    </border>
    <border>
      <bottom style="medium">
        <color rgb="FF54BAB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ck">
        <color rgb="FFFFFFFF"/>
      </right>
      <top style="thin">
        <color rgb="FFFFFFFF"/>
      </top>
      <bottom style="thin">
        <color rgb="FFFFFFFF"/>
      </bottom>
    </border>
    <border>
      <left style="thick">
        <color rgb="FFFFFFFF"/>
      </left>
    </border>
    <border>
      <right style="thick">
        <color rgb="FFFFFFFF"/>
      </right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3" fontId="3" numFmtId="0" xfId="0" applyAlignment="1" applyFill="1" applyFont="1">
      <alignment readingOrder="0" vertical="center"/>
    </xf>
    <xf borderId="0" fillId="3" fontId="2" numFmtId="0" xfId="0" applyFont="1"/>
    <xf borderId="0" fillId="0" fontId="4" numFmtId="0" xfId="0" applyFont="1"/>
    <xf borderId="2" fillId="0" fontId="4" numFmtId="0" xfId="0" applyBorder="1" applyFont="1"/>
    <xf borderId="2" fillId="0" fontId="4" numFmtId="164" xfId="0" applyAlignment="1" applyBorder="1" applyFont="1" applyNumberFormat="1">
      <alignment horizontal="left" readingOrder="0"/>
    </xf>
    <xf borderId="2" fillId="0" fontId="4" numFmtId="164" xfId="0" applyAlignment="1" applyBorder="1" applyFont="1" applyNumberFormat="1">
      <alignment horizontal="left"/>
    </xf>
    <xf borderId="0" fillId="0" fontId="5" numFmtId="0" xfId="0" applyAlignment="1" applyFont="1">
      <alignment readingOrder="0" vertical="center"/>
    </xf>
    <xf borderId="2" fillId="4" fontId="5" numFmtId="0" xfId="0" applyAlignment="1" applyBorder="1" applyFill="1" applyFont="1">
      <alignment readingOrder="0" vertical="center"/>
    </xf>
    <xf borderId="2" fillId="4" fontId="5" numFmtId="0" xfId="0" applyAlignment="1" applyBorder="1" applyFont="1">
      <alignment vertical="center"/>
    </xf>
    <xf borderId="2" fillId="4" fontId="5" numFmtId="164" xfId="0" applyAlignment="1" applyBorder="1" applyFont="1" applyNumberFormat="1">
      <alignment horizontal="left" vertical="center"/>
    </xf>
    <xf borderId="0" fillId="0" fontId="5" numFmtId="0" xfId="0" applyAlignment="1" applyFont="1">
      <alignment vertical="center"/>
    </xf>
    <xf borderId="0" fillId="5" fontId="2" numFmtId="0" xfId="0" applyFill="1" applyFont="1"/>
    <xf borderId="0" fillId="5" fontId="2" numFmtId="164" xfId="0" applyFont="1" applyNumberFormat="1"/>
    <xf borderId="0" fillId="5" fontId="2" numFmtId="164" xfId="0" applyAlignment="1" applyFont="1" applyNumberFormat="1">
      <alignment readingOrder="0"/>
    </xf>
    <xf borderId="0" fillId="6" fontId="3" numFmtId="0" xfId="0" applyAlignment="1" applyFill="1" applyFont="1">
      <alignment readingOrder="0" vertical="center"/>
    </xf>
    <xf borderId="0" fillId="6" fontId="4" numFmtId="0" xfId="0" applyAlignment="1" applyFont="1">
      <alignment vertical="center"/>
    </xf>
    <xf borderId="0" fillId="6" fontId="4" numFmtId="164" xfId="0" applyAlignment="1" applyFont="1" applyNumberFormat="1">
      <alignment vertical="center"/>
    </xf>
    <xf borderId="0" fillId="0" fontId="4" numFmtId="0" xfId="0" applyAlignment="1" applyFont="1">
      <alignment vertical="center"/>
    </xf>
    <xf borderId="2" fillId="0" fontId="4" numFmtId="0" xfId="0" applyAlignment="1" applyBorder="1" applyFont="1">
      <alignment vertical="center"/>
    </xf>
    <xf borderId="2" fillId="0" fontId="4" numFmtId="0" xfId="0" applyAlignment="1" applyBorder="1" applyFont="1">
      <alignment readingOrder="0" vertical="center"/>
    </xf>
    <xf borderId="2" fillId="0" fontId="4" numFmtId="164" xfId="0" applyAlignment="1" applyBorder="1" applyFont="1" applyNumberFormat="1">
      <alignment horizontal="left" readingOrder="0" vertical="center"/>
    </xf>
    <xf borderId="2" fillId="0" fontId="4" numFmtId="164" xfId="0" applyAlignment="1" applyBorder="1" applyFont="1" applyNumberFormat="1">
      <alignment horizontal="left" vertical="center"/>
    </xf>
    <xf borderId="0" fillId="0" fontId="6" numFmtId="0" xfId="0" applyAlignment="1" applyFont="1">
      <alignment readingOrder="0" vertical="center"/>
    </xf>
    <xf borderId="2" fillId="7" fontId="6" numFmtId="0" xfId="0" applyAlignment="1" applyBorder="1" applyFill="1" applyFont="1">
      <alignment readingOrder="0" vertical="center"/>
    </xf>
    <xf borderId="2" fillId="7" fontId="6" numFmtId="0" xfId="0" applyAlignment="1" applyBorder="1" applyFont="1">
      <alignment vertical="center"/>
    </xf>
    <xf borderId="2" fillId="7" fontId="6" numFmtId="164" xfId="0" applyAlignment="1" applyBorder="1" applyFont="1" applyNumberFormat="1">
      <alignment horizontal="left" vertical="center"/>
    </xf>
    <xf borderId="0" fillId="0" fontId="6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8" fontId="1" numFmtId="0" xfId="0" applyAlignment="1" applyFill="1" applyFont="1">
      <alignment readingOrder="0" vertical="center"/>
    </xf>
    <xf borderId="0" fillId="8" fontId="2" numFmtId="0" xfId="0" applyAlignment="1" applyFont="1">
      <alignment vertical="center"/>
    </xf>
    <xf borderId="0" fillId="8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  <xf borderId="2" fillId="7" fontId="1" numFmtId="0" xfId="0" applyAlignment="1" applyBorder="1" applyFont="1">
      <alignment readingOrder="0" vertical="center"/>
    </xf>
    <xf borderId="2" fillId="7" fontId="5" numFmtId="10" xfId="0" applyAlignment="1" applyBorder="1" applyFont="1" applyNumberFormat="1">
      <alignment vertical="center"/>
    </xf>
    <xf borderId="2" fillId="7" fontId="5" numFmtId="10" xfId="0" applyAlignment="1" applyBorder="1" applyFont="1" applyNumberFormat="1">
      <alignment horizontal="left" vertical="center"/>
    </xf>
    <xf borderId="2" fillId="7" fontId="5" numFmtId="0" xfId="0" applyAlignment="1" applyBorder="1" applyFont="1">
      <alignment vertical="center"/>
    </xf>
    <xf borderId="2" fillId="7" fontId="5" numFmtId="164" xfId="0" applyAlignment="1" applyBorder="1" applyFont="1" applyNumberFormat="1">
      <alignment horizontal="left" vertical="center"/>
    </xf>
    <xf borderId="0" fillId="0" fontId="2" numFmtId="165" xfId="0" applyFont="1" applyNumberFormat="1"/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right" readingOrder="0" vertical="center"/>
    </xf>
    <xf borderId="0" fillId="7" fontId="7" numFmtId="0" xfId="0" applyAlignment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9" fontId="5" numFmtId="165" xfId="0" applyAlignment="1" applyFont="1" applyNumberFormat="1">
      <alignment readingOrder="0" vertical="center"/>
    </xf>
    <xf borderId="0" fillId="9" fontId="5" numFmtId="0" xfId="0" applyAlignment="1" applyFont="1">
      <alignment readingOrder="0" vertical="center"/>
    </xf>
    <xf borderId="0" fillId="9" fontId="5" numFmtId="164" xfId="0" applyAlignment="1" applyFont="1" applyNumberFormat="1">
      <alignment horizontal="center" readingOrder="0" vertical="center"/>
    </xf>
    <xf borderId="3" fillId="0" fontId="2" numFmtId="0" xfId="0" applyBorder="1" applyFont="1"/>
    <xf borderId="3" fillId="7" fontId="2" numFmtId="0" xfId="0" applyBorder="1" applyFont="1"/>
    <xf borderId="3" fillId="7" fontId="2" numFmtId="165" xfId="0" applyAlignment="1" applyBorder="1" applyFont="1" applyNumberFormat="1">
      <alignment horizontal="left" readingOrder="0"/>
    </xf>
    <xf borderId="3" fillId="7" fontId="2" numFmtId="4" xfId="0" applyAlignment="1" applyBorder="1" applyFont="1" applyNumberFormat="1">
      <alignment horizontal="center" readingOrder="0"/>
    </xf>
    <xf borderId="0" fillId="0" fontId="4" numFmtId="165" xfId="0" applyAlignment="1" applyFont="1" applyNumberFormat="1">
      <alignment horizontal="left" readingOrder="0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left" readingOrder="0"/>
    </xf>
    <xf borderId="0" fillId="0" fontId="8" numFmtId="0" xfId="0" applyAlignment="1" applyFont="1">
      <alignment readingOrder="0"/>
    </xf>
    <xf borderId="0" fillId="10" fontId="9" numFmtId="0" xfId="0" applyAlignment="1" applyFill="1" applyFont="1">
      <alignment readingOrder="0" vertical="center"/>
    </xf>
    <xf borderId="0" fillId="10" fontId="10" numFmtId="0" xfId="0" applyAlignment="1" applyFont="1">
      <alignment readingOrder="0"/>
    </xf>
    <xf borderId="0" fillId="10" fontId="10" numFmtId="0" xfId="0" applyAlignment="1" applyFont="1">
      <alignment horizontal="center" readingOrder="0"/>
    </xf>
    <xf borderId="0" fillId="11" fontId="11" numFmtId="0" xfId="0" applyAlignment="1" applyFill="1" applyFont="1">
      <alignment horizontal="center" readingOrder="0" vertical="center"/>
    </xf>
    <xf borderId="0" fillId="5" fontId="2" numFmtId="0" xfId="0" applyAlignment="1" applyFont="1">
      <alignment vertical="center"/>
    </xf>
    <xf borderId="4" fillId="12" fontId="12" numFmtId="0" xfId="0" applyAlignment="1" applyBorder="1" applyFill="1" applyFont="1">
      <alignment horizontal="center" readingOrder="0" vertical="center"/>
    </xf>
    <xf borderId="5" fillId="12" fontId="12" numFmtId="0" xfId="0" applyAlignment="1" applyBorder="1" applyFont="1">
      <alignment horizontal="center" readingOrder="0" vertical="center"/>
    </xf>
    <xf borderId="0" fillId="5" fontId="2" numFmtId="0" xfId="0" applyAlignment="1" applyFont="1">
      <alignment horizontal="center" vertical="center"/>
    </xf>
    <xf borderId="6" fillId="0" fontId="5" numFmtId="164" xfId="0" applyAlignment="1" applyBorder="1" applyFont="1" applyNumberFormat="1">
      <alignment horizontal="center" vertical="center"/>
    </xf>
    <xf borderId="5" fillId="0" fontId="5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12" fontId="13" numFmtId="0" xfId="0" applyAlignment="1" applyFont="1">
      <alignment readingOrder="0" vertical="center"/>
    </xf>
    <xf borderId="7" fillId="12" fontId="13" numFmtId="0" xfId="0" applyAlignment="1" applyBorder="1" applyFont="1">
      <alignment readingOrder="0" vertical="center"/>
    </xf>
    <xf borderId="7" fillId="0" fontId="14" numFmtId="0" xfId="0" applyBorder="1" applyFont="1"/>
    <xf borderId="0" fillId="12" fontId="13" numFmtId="0" xfId="0" applyAlignment="1" applyFont="1">
      <alignment horizontal="center" readingOrder="0" vertical="center"/>
    </xf>
    <xf borderId="8" fillId="0" fontId="15" numFmtId="0" xfId="0" applyBorder="1" applyFont="1"/>
    <xf borderId="9" fillId="0" fontId="14" numFmtId="0" xfId="0" applyBorder="1" applyFont="1"/>
    <xf borderId="8" fillId="0" fontId="15" numFmtId="164" xfId="0" applyAlignment="1" applyBorder="1" applyFont="1" applyNumberFormat="1">
      <alignment horizontal="left"/>
    </xf>
    <xf borderId="10" fillId="0" fontId="15" numFmtId="10" xfId="0" applyAlignment="1" applyBorder="1" applyFont="1" applyNumberFormat="1">
      <alignment horizontal="center"/>
    </xf>
    <xf borderId="0" fillId="5" fontId="5" numFmtId="0" xfId="0" applyAlignment="1" applyFont="1">
      <alignment readingOrder="0"/>
    </xf>
    <xf borderId="0" fillId="5" fontId="5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right" readingOrder="0"/>
    </xf>
    <xf borderId="0" fillId="0" fontId="16" numFmtId="0" xfId="0" applyFont="1"/>
    <xf borderId="11" fillId="0" fontId="16" numFmtId="0" xfId="0" applyAlignment="1" applyBorder="1" applyFont="1">
      <alignment readingOrder="0" vertical="center"/>
    </xf>
    <xf borderId="11" fillId="0" fontId="16" numFmtId="0" xfId="0" applyAlignment="1" applyBorder="1" applyFont="1">
      <alignment horizontal="left" readingOrder="0" vertical="center"/>
    </xf>
    <xf borderId="11" fillId="0" fontId="16" numFmtId="0" xfId="0" applyAlignment="1" applyBorder="1" applyFont="1">
      <alignment vertical="center"/>
    </xf>
    <xf borderId="11" fillId="0" fontId="14" numFmtId="0" xfId="0" applyBorder="1" applyFont="1"/>
    <xf borderId="11" fillId="0" fontId="16" numFmtId="0" xfId="0" applyAlignment="1" applyBorder="1" applyFont="1">
      <alignment horizontal="right" readingOrder="0" vertical="center"/>
    </xf>
    <xf borderId="0" fillId="0" fontId="17" numFmtId="0" xfId="0" applyFont="1"/>
    <xf borderId="12" fillId="0" fontId="18" numFmtId="0" xfId="0" applyAlignment="1" applyBorder="1" applyFont="1">
      <alignment horizontal="center" readingOrder="0" vertical="bottom"/>
    </xf>
    <xf borderId="12" fillId="0" fontId="14" numFmtId="0" xfId="0" applyBorder="1" applyFont="1"/>
    <xf borderId="0" fillId="0" fontId="18" numFmtId="0" xfId="0" applyAlignment="1" applyFont="1">
      <alignment horizontal="center" readingOrder="0" vertical="center"/>
    </xf>
    <xf borderId="13" fillId="13" fontId="19" numFmtId="0" xfId="0" applyAlignment="1" applyBorder="1" applyFill="1" applyFont="1">
      <alignment readingOrder="0" vertical="center"/>
    </xf>
    <xf borderId="14" fillId="0" fontId="14" numFmtId="0" xfId="0" applyBorder="1" applyFont="1"/>
    <xf borderId="15" fillId="14" fontId="10" numFmtId="164" xfId="0" applyAlignment="1" applyBorder="1" applyFill="1" applyFont="1" applyNumberFormat="1">
      <alignment vertical="center"/>
    </xf>
    <xf borderId="16" fillId="3" fontId="19" numFmtId="0" xfId="0" applyAlignment="1" applyBorder="1" applyFont="1">
      <alignment readingOrder="0" vertical="center"/>
    </xf>
    <xf borderId="17" fillId="14" fontId="10" numFmtId="164" xfId="0" applyAlignment="1" applyBorder="1" applyFont="1" applyNumberFormat="1">
      <alignment vertical="center"/>
    </xf>
    <xf borderId="16" fillId="15" fontId="20" numFmtId="0" xfId="0" applyAlignment="1" applyBorder="1" applyFill="1" applyFont="1">
      <alignment readingOrder="0" vertical="center"/>
    </xf>
    <xf borderId="0" fillId="14" fontId="10" numFmtId="164" xfId="0" applyAlignment="1" applyFont="1" applyNumberFormat="1">
      <alignment vertical="center"/>
    </xf>
    <xf borderId="13" fillId="11" fontId="19" numFmtId="0" xfId="0" applyAlignment="1" applyBorder="1" applyFont="1">
      <alignment readingOrder="0" vertical="center"/>
    </xf>
    <xf borderId="16" fillId="16" fontId="19" numFmtId="0" xfId="0" applyAlignment="1" applyBorder="1" applyFill="1" applyFont="1">
      <alignment readingOrder="0" vertical="center"/>
    </xf>
    <xf borderId="13" fillId="17" fontId="19" numFmtId="0" xfId="0" applyAlignment="1" applyBorder="1" applyFill="1" applyFont="1">
      <alignment readingOrder="0" vertical="center"/>
    </xf>
    <xf borderId="16" fillId="18" fontId="19" numFmtId="0" xfId="0" applyAlignment="1" applyBorder="1" applyFill="1" applyFont="1">
      <alignment readingOrder="0" vertical="center"/>
    </xf>
    <xf borderId="0" fillId="14" fontId="10" numFmtId="10" xfId="0" applyAlignment="1" applyFont="1" applyNumberFormat="1">
      <alignment vertical="center"/>
    </xf>
    <xf borderId="0" fillId="0" fontId="6" numFmtId="0" xfId="0" applyFont="1"/>
    <xf borderId="0" fillId="10" fontId="21" numFmtId="0" xfId="0" applyAlignment="1" applyFont="1">
      <alignment readingOrder="0" vertical="center"/>
    </xf>
    <xf borderId="0" fillId="10" fontId="21" numFmtId="0" xfId="0" applyAlignment="1" applyFont="1">
      <alignment horizontal="center" readingOrder="0" vertical="center"/>
    </xf>
    <xf borderId="0" fillId="19" fontId="22" numFmtId="0" xfId="0" applyAlignment="1" applyFill="1" applyFont="1">
      <alignment horizontal="center" readingOrder="0"/>
    </xf>
    <xf borderId="0" fillId="19" fontId="2" numFmtId="0" xfId="0" applyFont="1"/>
    <xf borderId="0" fillId="0" fontId="4" numFmtId="0" xfId="0" applyAlignment="1" applyFont="1">
      <alignment readingOrder="0" vertical="center"/>
    </xf>
    <xf borderId="0" fillId="0" fontId="23" numFmtId="0" xfId="0" applyAlignment="1" applyFont="1">
      <alignment readingOrder="0" vertical="center"/>
    </xf>
    <xf borderId="0" fillId="0" fontId="15" numFmtId="0" xfId="0" applyAlignment="1" applyFont="1">
      <alignment readingOrder="0" vertical="center"/>
    </xf>
    <xf borderId="0" fillId="0" fontId="24" numFmtId="0" xfId="0" applyAlignment="1" applyFont="1">
      <alignment readingOrder="0" vertical="center"/>
    </xf>
    <xf borderId="0" fillId="0" fontId="25" numFmtId="164" xfId="0" applyAlignment="1" applyFont="1" applyNumberFormat="1">
      <alignment horizontal="center" vertical="center"/>
    </xf>
    <xf borderId="0" fillId="0" fontId="25" numFmtId="10" xfId="0" applyAlignment="1" applyFont="1" applyNumberFormat="1">
      <alignment vertical="center"/>
    </xf>
    <xf borderId="0" fillId="0" fontId="23" numFmtId="0" xfId="0" applyAlignment="1" applyFont="1">
      <alignment vertical="center"/>
    </xf>
    <xf borderId="0" fillId="0" fontId="24" numFmtId="0" xfId="0" applyAlignment="1" applyFont="1">
      <alignment vertical="center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3">
    <dxf>
      <font>
        <b/>
        <color rgb="FFC706D0"/>
      </font>
      <fill>
        <patternFill patternType="none"/>
      </fill>
      <border/>
    </dxf>
    <dxf>
      <font>
        <b/>
        <color rgb="FF33CDCF"/>
      </font>
      <fill>
        <patternFill patternType="none"/>
      </fill>
      <border/>
    </dxf>
    <dxf>
      <font>
        <b/>
        <color theme="4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Report!$B$10:$B$15</c:f>
            </c:strRef>
          </c:cat>
          <c:val>
            <c:numRef>
              <c:f>Report!$F$10:$F$15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Report!$L$76:$L$87</c:f>
            </c:strRef>
          </c:cat>
          <c:val>
            <c:numRef>
              <c:f>Report!$M$76:$M$87</c:f>
              <c:numCache/>
            </c:numRef>
          </c:val>
        </c:ser>
        <c:axId val="1445619378"/>
        <c:axId val="680051875"/>
      </c:barChart>
      <c:catAx>
        <c:axId val="1445619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0051875"/>
      </c:catAx>
      <c:valAx>
        <c:axId val="6800518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6193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Summary!$B$5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33CDCF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Summary!$C$5:$D$5</c:f>
              <c:numCache/>
            </c:numRef>
          </c:val>
        </c:ser>
        <c:ser>
          <c:idx val="1"/>
          <c:order val="1"/>
          <c:tx>
            <c:strRef>
              <c:f>Summary!$B$6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C706D0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Summary!$C$6:$D$6</c:f>
              <c:numCache/>
            </c:numRef>
          </c:val>
        </c:ser>
        <c:ser>
          <c:idx val="2"/>
          <c:order val="2"/>
          <c:tx>
            <c:strRef>
              <c:f>Summary!$B$7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val>
            <c:numRef>
              <c:f>Summary!$C$7:$D$7</c:f>
              <c:numCache/>
            </c:numRef>
          </c:val>
        </c:ser>
        <c:axId val="1287177516"/>
        <c:axId val="1775595582"/>
      </c:bar3DChart>
      <c:catAx>
        <c:axId val="128717751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5595582"/>
      </c:catAx>
      <c:valAx>
        <c:axId val="177559558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717751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FFD966"/>
              </a:solidFill>
            </c:spPr>
          </c:dPt>
          <c:dPt>
            <c:idx val="1"/>
            <c:spPr>
              <a:solidFill>
                <a:srgbClr val="E06666"/>
              </a:solidFill>
            </c:spPr>
          </c:dPt>
          <c:dPt>
            <c:idx val="2"/>
            <c:spPr>
              <a:solidFill>
                <a:srgbClr val="00B88C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Summary!$E$5:$E$7</c:f>
            </c:strRef>
          </c:cat>
          <c:val>
            <c:numRef>
              <c:f>Summary!$F$5:$F$7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17</xdr:row>
      <xdr:rowOff>28575</xdr:rowOff>
    </xdr:from>
    <xdr:ext cx="4333875" cy="2686050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619125</xdr:colOff>
      <xdr:row>17</xdr:row>
      <xdr:rowOff>28575</xdr:rowOff>
    </xdr:from>
    <xdr:ext cx="4457700" cy="2686050"/>
    <xdr:graphicFrame>
      <xdr:nvGraphicFramePr>
        <xdr:cNvPr id="2" name="Chart 2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19</xdr:row>
      <xdr:rowOff>133350</xdr:rowOff>
    </xdr:from>
    <xdr:ext cx="3886200" cy="2390775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628650</xdr:colOff>
      <xdr:row>19</xdr:row>
      <xdr:rowOff>152400</xdr:rowOff>
    </xdr:from>
    <xdr:ext cx="3886200" cy="2390775"/>
    <xdr:graphicFrame>
      <xdr:nvGraphicFramePr>
        <xdr:cNvPr id="4" name="Chart 4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j.c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2" width="19.0"/>
    <col customWidth="1" min="3" max="3" width="15.25"/>
    <col customWidth="1" min="4" max="4" width="13.38"/>
    <col customWidth="1" min="5" max="16" width="16.5"/>
    <col customWidth="1" min="17" max="17" width="3.0"/>
  </cols>
  <sheetData>
    <row r="1" ht="9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33.0" customHeight="1">
      <c r="A2" s="1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8.25" customHeight="1">
      <c r="A3" s="4"/>
      <c r="B3" s="4"/>
    </row>
    <row r="4" ht="25.5" customHeight="1">
      <c r="A4" s="5"/>
      <c r="B4" s="6" t="s">
        <v>15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>
      <c r="A5" s="8"/>
      <c r="B5" s="9" t="str">
        <f>IFERROR(__xludf.DUMMYFUNCTION("FILTER('Konfigurasi ⚙'!E3:E999, 'Konfigurasi ⚙'!E3:E999&lt;&gt;"""")"),"Monthly Salary")</f>
        <v>Monthly Salary</v>
      </c>
      <c r="C5" s="9"/>
      <c r="D5" s="9"/>
      <c r="E5" s="10">
        <v>5969800.0</v>
      </c>
      <c r="F5" s="10">
        <v>6547101.0</v>
      </c>
      <c r="G5" s="10"/>
      <c r="H5" s="11"/>
      <c r="I5" s="11"/>
      <c r="J5" s="11"/>
      <c r="K5" s="10"/>
      <c r="L5" s="10"/>
      <c r="M5" s="10"/>
      <c r="N5" s="10"/>
      <c r="O5" s="10"/>
      <c r="P5" s="10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>
      <c r="A6" s="8"/>
      <c r="B6" s="9" t="str">
        <f>IFERROR(__xludf.DUMMYFUNCTION("""COMPUTED_VALUE"""),"Freelance/Business")</f>
        <v>Freelance/Business</v>
      </c>
      <c r="C6" s="9"/>
      <c r="D6" s="9"/>
      <c r="E6" s="10"/>
      <c r="F6" s="10"/>
      <c r="G6" s="10"/>
      <c r="H6" s="11"/>
      <c r="I6" s="11"/>
      <c r="J6" s="11"/>
      <c r="K6" s="11"/>
      <c r="L6" s="11"/>
      <c r="M6" s="11"/>
      <c r="N6" s="11"/>
      <c r="O6" s="11"/>
      <c r="P6" s="11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24.75" customHeight="1">
      <c r="A7" s="12"/>
      <c r="B7" s="13" t="s">
        <v>16</v>
      </c>
      <c r="C7" s="14"/>
      <c r="D7" s="14"/>
      <c r="E7" s="15">
        <f t="shared" ref="E7:P7" si="1">SUM(E5:E6)</f>
        <v>5969800</v>
      </c>
      <c r="F7" s="15">
        <f t="shared" si="1"/>
        <v>6547101</v>
      </c>
      <c r="G7" s="15">
        <f t="shared" si="1"/>
        <v>0</v>
      </c>
      <c r="H7" s="15">
        <f t="shared" si="1"/>
        <v>0</v>
      </c>
      <c r="I7" s="15">
        <f t="shared" si="1"/>
        <v>0</v>
      </c>
      <c r="J7" s="15">
        <f t="shared" si="1"/>
        <v>0</v>
      </c>
      <c r="K7" s="15">
        <f t="shared" si="1"/>
        <v>0</v>
      </c>
      <c r="L7" s="15">
        <f t="shared" si="1"/>
        <v>0</v>
      </c>
      <c r="M7" s="15">
        <f t="shared" si="1"/>
        <v>0</v>
      </c>
      <c r="N7" s="15">
        <f t="shared" si="1"/>
        <v>0</v>
      </c>
      <c r="O7" s="15">
        <f t="shared" si="1"/>
        <v>0</v>
      </c>
      <c r="P7" s="15">
        <f t="shared" si="1"/>
        <v>0</v>
      </c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</row>
    <row r="8" ht="9.75" customHeight="1">
      <c r="B8" s="17"/>
      <c r="C8" s="17"/>
      <c r="D8" s="17"/>
      <c r="E8" s="18"/>
      <c r="F8" s="18"/>
      <c r="G8" s="18"/>
      <c r="H8" s="18"/>
      <c r="I8" s="18"/>
      <c r="J8" s="18"/>
      <c r="K8" s="18"/>
      <c r="L8" s="18"/>
      <c r="M8" s="18"/>
      <c r="N8" s="19" t="s">
        <v>17</v>
      </c>
      <c r="O8" s="18"/>
      <c r="P8" s="18"/>
    </row>
    <row r="9" ht="23.25" customHeight="1">
      <c r="A9" s="5"/>
      <c r="B9" s="20" t="s">
        <v>18</v>
      </c>
      <c r="C9" s="21"/>
      <c r="D9" s="21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>
      <c r="A10" s="23"/>
      <c r="B10" s="24" t="str">
        <f>IFERROR(__xludf.DUMMYFUNCTION("FILTER('Konfigurasi ⚙'!G3:G999, 'Konfigurasi ⚙'!G3:G999&lt;&gt;"""")"),"General Savings")</f>
        <v>General Savings</v>
      </c>
      <c r="C10" s="25" t="s">
        <v>19</v>
      </c>
      <c r="D10" s="24"/>
      <c r="E10" s="26">
        <v>192984.0</v>
      </c>
      <c r="F10" s="26">
        <v>694601.0</v>
      </c>
      <c r="G10" s="26"/>
      <c r="H10" s="27"/>
      <c r="I10" s="27"/>
      <c r="J10" s="27"/>
      <c r="K10" s="27"/>
      <c r="L10" s="26"/>
      <c r="M10" s="26"/>
      <c r="N10" s="26"/>
      <c r="O10" s="26"/>
      <c r="P10" s="26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>
      <c r="A11" s="23"/>
      <c r="B11" s="24" t="str">
        <f>IFERROR(__xludf.DUMMYFUNCTION("""COMPUTED_VALUE"""),"Emergency")</f>
        <v>Emergency</v>
      </c>
      <c r="C11" s="25" t="s">
        <v>20</v>
      </c>
      <c r="D11" s="24"/>
      <c r="E11" s="27"/>
      <c r="F11" s="26"/>
      <c r="G11" s="26"/>
      <c r="H11" s="27"/>
      <c r="I11" s="27"/>
      <c r="J11" s="27"/>
      <c r="K11" s="27"/>
      <c r="L11" s="27"/>
      <c r="M11" s="26"/>
      <c r="N11" s="26"/>
      <c r="O11" s="27"/>
      <c r="P11" s="27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</row>
    <row r="12" ht="25.5" customHeight="1">
      <c r="A12" s="12"/>
      <c r="B12" s="13" t="s">
        <v>21</v>
      </c>
      <c r="C12" s="14"/>
      <c r="D12" s="14"/>
      <c r="E12" s="15">
        <f t="shared" ref="E12:P12" si="2">SUM(E10:E11)</f>
        <v>192984</v>
      </c>
      <c r="F12" s="15">
        <f t="shared" si="2"/>
        <v>694601</v>
      </c>
      <c r="G12" s="15">
        <f t="shared" si="2"/>
        <v>0</v>
      </c>
      <c r="H12" s="15">
        <f t="shared" si="2"/>
        <v>0</v>
      </c>
      <c r="I12" s="15">
        <f t="shared" si="2"/>
        <v>0</v>
      </c>
      <c r="J12" s="15">
        <f t="shared" si="2"/>
        <v>0</v>
      </c>
      <c r="K12" s="15">
        <f t="shared" si="2"/>
        <v>0</v>
      </c>
      <c r="L12" s="15">
        <f t="shared" si="2"/>
        <v>0</v>
      </c>
      <c r="M12" s="15">
        <f t="shared" si="2"/>
        <v>0</v>
      </c>
      <c r="N12" s="15">
        <f t="shared" si="2"/>
        <v>0</v>
      </c>
      <c r="O12" s="15">
        <f t="shared" si="2"/>
        <v>0</v>
      </c>
      <c r="P12" s="15">
        <f t="shared" si="2"/>
        <v>0</v>
      </c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ht="26.25" customHeight="1">
      <c r="A13" s="28"/>
      <c r="B13" s="29" t="s">
        <v>22</v>
      </c>
      <c r="C13" s="30"/>
      <c r="D13" s="30"/>
      <c r="E13" s="31">
        <f t="shared" ref="E13:P13" si="3">E12+E22</f>
        <v>6054326</v>
      </c>
      <c r="F13" s="31">
        <f t="shared" si="3"/>
        <v>6547101</v>
      </c>
      <c r="G13" s="31">
        <f t="shared" si="3"/>
        <v>0</v>
      </c>
      <c r="H13" s="31">
        <f t="shared" si="3"/>
        <v>0</v>
      </c>
      <c r="I13" s="31">
        <f t="shared" si="3"/>
        <v>0</v>
      </c>
      <c r="J13" s="31">
        <f t="shared" si="3"/>
        <v>0</v>
      </c>
      <c r="K13" s="31">
        <f t="shared" si="3"/>
        <v>0</v>
      </c>
      <c r="L13" s="31">
        <f t="shared" si="3"/>
        <v>0</v>
      </c>
      <c r="M13" s="31">
        <f t="shared" si="3"/>
        <v>0</v>
      </c>
      <c r="N13" s="31">
        <f t="shared" si="3"/>
        <v>0</v>
      </c>
      <c r="O13" s="31">
        <f t="shared" si="3"/>
        <v>0</v>
      </c>
      <c r="P13" s="31">
        <f t="shared" si="3"/>
        <v>0</v>
      </c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>
      <c r="B14" s="17"/>
      <c r="C14" s="17"/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ht="25.5" customHeight="1">
      <c r="A15" s="33"/>
      <c r="B15" s="34" t="s">
        <v>23</v>
      </c>
      <c r="C15" s="35"/>
      <c r="D15" s="35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>
      <c r="A16" s="23"/>
      <c r="B16" s="24" t="str">
        <f>IFERROR(__xludf.DUMMYFUNCTION("FILTER('Konfigurasi ⚙'!A3:A999, 'Konfigurasi ⚙'!A3:A999&lt;&gt;"""")"),"Kos")</f>
        <v>Kos</v>
      </c>
      <c r="C16" s="25" t="s">
        <v>20</v>
      </c>
      <c r="D16" s="24"/>
      <c r="E16" s="26">
        <v>1500000.0</v>
      </c>
      <c r="F16" s="26">
        <v>1500000.0</v>
      </c>
      <c r="G16" s="26"/>
      <c r="H16" s="27"/>
      <c r="I16" s="27"/>
      <c r="J16" s="27"/>
      <c r="K16" s="27"/>
      <c r="L16" s="27"/>
      <c r="M16" s="26"/>
      <c r="N16" s="26"/>
      <c r="O16" s="26"/>
      <c r="P16" s="2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>
      <c r="A17" s="23"/>
      <c r="B17" s="24" t="str">
        <f>IFERROR(__xludf.DUMMYFUNCTION("""COMPUTED_VALUE"""),"Makanan")</f>
        <v>Makanan</v>
      </c>
      <c r="C17" s="25" t="s">
        <v>20</v>
      </c>
      <c r="D17" s="24"/>
      <c r="E17" s="26">
        <v>1354784.0</v>
      </c>
      <c r="F17" s="26">
        <v>1200000.0</v>
      </c>
      <c r="G17" s="26"/>
      <c r="H17" s="27"/>
      <c r="I17" s="27"/>
      <c r="J17" s="27"/>
      <c r="K17" s="27"/>
      <c r="L17" s="27"/>
      <c r="M17" s="26"/>
      <c r="N17" s="26"/>
      <c r="O17" s="26"/>
      <c r="P17" s="2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>
      <c r="A18" s="23"/>
      <c r="B18" s="24" t="str">
        <f>IFERROR(__xludf.DUMMYFUNCTION("""COMPUTED_VALUE"""),"Skincare")</f>
        <v>Skincare</v>
      </c>
      <c r="C18" s="25" t="s">
        <v>20</v>
      </c>
      <c r="D18" s="24"/>
      <c r="E18" s="26">
        <v>175402.0</v>
      </c>
      <c r="F18" s="26">
        <v>200000.0</v>
      </c>
      <c r="G18" s="26"/>
      <c r="H18" s="27"/>
      <c r="I18" s="27"/>
      <c r="J18" s="27"/>
      <c r="K18" s="27"/>
      <c r="L18" s="27"/>
      <c r="M18" s="26"/>
      <c r="N18" s="26"/>
      <c r="O18" s="26"/>
      <c r="P18" s="2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>
      <c r="A19" s="23"/>
      <c r="B19" s="24" t="str">
        <f>IFERROR(__xludf.DUMMYFUNCTION("""COMPUTED_VALUE"""),"Self-reward")</f>
        <v>Self-reward</v>
      </c>
      <c r="C19" s="25" t="s">
        <v>20</v>
      </c>
      <c r="D19" s="24"/>
      <c r="E19" s="26">
        <v>154500.0</v>
      </c>
      <c r="F19" s="26">
        <v>200000.0</v>
      </c>
      <c r="G19" s="26"/>
      <c r="H19" s="27"/>
      <c r="I19" s="27"/>
      <c r="J19" s="27"/>
      <c r="K19" s="27"/>
      <c r="L19" s="27"/>
      <c r="M19" s="26"/>
      <c r="N19" s="26"/>
      <c r="O19" s="26"/>
      <c r="P19" s="2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>
      <c r="A20" s="23"/>
      <c r="B20" s="24" t="str">
        <f>IFERROR(__xludf.DUMMYFUNCTION("""COMPUTED_VALUE"""),"Transfer")</f>
        <v>Transfer</v>
      </c>
      <c r="C20" s="25" t="s">
        <v>20</v>
      </c>
      <c r="D20" s="24"/>
      <c r="E20" s="26">
        <v>1100000.0</v>
      </c>
      <c r="F20" s="26">
        <v>1100000.0</v>
      </c>
      <c r="G20" s="26"/>
      <c r="H20" s="27"/>
      <c r="I20" s="27"/>
      <c r="J20" s="27"/>
      <c r="K20" s="27"/>
      <c r="L20" s="27"/>
      <c r="M20" s="26"/>
      <c r="N20" s="26"/>
      <c r="O20" s="26"/>
      <c r="P20" s="2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>
      <c r="A21" s="23"/>
      <c r="B21" s="24" t="str">
        <f>IFERROR(__xludf.DUMMYFUNCTION("""COMPUTED_VALUE"""),"Lainnya")</f>
        <v>Lainnya</v>
      </c>
      <c r="C21" s="25" t="s">
        <v>20</v>
      </c>
      <c r="D21" s="24"/>
      <c r="E21" s="26">
        <v>1576656.0</v>
      </c>
      <c r="F21" s="26">
        <v>1652500.0</v>
      </c>
      <c r="G21" s="26"/>
      <c r="H21" s="27"/>
      <c r="I21" s="27"/>
      <c r="J21" s="27"/>
      <c r="K21" s="27"/>
      <c r="L21" s="27"/>
      <c r="M21" s="26"/>
      <c r="N21" s="26"/>
      <c r="O21" s="26"/>
      <c r="P21" s="2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ht="26.25" customHeight="1">
      <c r="A22" s="12"/>
      <c r="B22" s="13" t="s">
        <v>24</v>
      </c>
      <c r="C22" s="14"/>
      <c r="D22" s="14"/>
      <c r="E22" s="15">
        <f t="shared" ref="E22:P22" si="4">SUM(E16:E21)</f>
        <v>5861342</v>
      </c>
      <c r="F22" s="15">
        <f t="shared" si="4"/>
        <v>5852500</v>
      </c>
      <c r="G22" s="15">
        <f t="shared" si="4"/>
        <v>0</v>
      </c>
      <c r="H22" s="15">
        <f t="shared" si="4"/>
        <v>0</v>
      </c>
      <c r="I22" s="15">
        <f t="shared" si="4"/>
        <v>0</v>
      </c>
      <c r="J22" s="15">
        <f t="shared" si="4"/>
        <v>0</v>
      </c>
      <c r="K22" s="15">
        <f t="shared" si="4"/>
        <v>0</v>
      </c>
      <c r="L22" s="15">
        <f t="shared" si="4"/>
        <v>0</v>
      </c>
      <c r="M22" s="15">
        <f t="shared" si="4"/>
        <v>0</v>
      </c>
      <c r="N22" s="15">
        <f t="shared" si="4"/>
        <v>0</v>
      </c>
      <c r="O22" s="15">
        <f t="shared" si="4"/>
        <v>0</v>
      </c>
      <c r="P22" s="15">
        <f t="shared" si="4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</row>
    <row r="23">
      <c r="B23" s="17"/>
      <c r="C23" s="17"/>
      <c r="D23" s="1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ht="23.25" customHeight="1">
      <c r="A24" s="33"/>
      <c r="B24" s="38" t="s">
        <v>25</v>
      </c>
      <c r="C24" s="39"/>
      <c r="D24" s="39"/>
      <c r="E24" s="40">
        <f t="shared" ref="E24:P24" si="5">IFERROR(E13/E7,"")</f>
        <v>1.014158933</v>
      </c>
      <c r="F24" s="40">
        <f t="shared" si="5"/>
        <v>1</v>
      </c>
      <c r="G24" s="40" t="str">
        <f t="shared" si="5"/>
        <v/>
      </c>
      <c r="H24" s="40" t="str">
        <f t="shared" si="5"/>
        <v/>
      </c>
      <c r="I24" s="40" t="str">
        <f t="shared" si="5"/>
        <v/>
      </c>
      <c r="J24" s="40" t="str">
        <f t="shared" si="5"/>
        <v/>
      </c>
      <c r="K24" s="40" t="str">
        <f t="shared" si="5"/>
        <v/>
      </c>
      <c r="L24" s="40" t="str">
        <f t="shared" si="5"/>
        <v/>
      </c>
      <c r="M24" s="40" t="str">
        <f t="shared" si="5"/>
        <v/>
      </c>
      <c r="N24" s="40" t="str">
        <f t="shared" si="5"/>
        <v/>
      </c>
      <c r="O24" s="40" t="str">
        <f t="shared" si="5"/>
        <v/>
      </c>
      <c r="P24" s="40" t="str">
        <f t="shared" si="5"/>
        <v/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</row>
    <row r="25" ht="23.25" customHeight="1">
      <c r="A25" s="33"/>
      <c r="B25" s="38" t="s">
        <v>26</v>
      </c>
      <c r="C25" s="41"/>
      <c r="D25" s="41"/>
      <c r="E25" s="42">
        <f t="shared" ref="E25:P25" si="6">E7-E13</f>
        <v>-84526</v>
      </c>
      <c r="F25" s="42">
        <f t="shared" si="6"/>
        <v>0</v>
      </c>
      <c r="G25" s="42">
        <f t="shared" si="6"/>
        <v>0</v>
      </c>
      <c r="H25" s="42">
        <f t="shared" si="6"/>
        <v>0</v>
      </c>
      <c r="I25" s="42">
        <f t="shared" si="6"/>
        <v>0</v>
      </c>
      <c r="J25" s="42">
        <f t="shared" si="6"/>
        <v>0</v>
      </c>
      <c r="K25" s="42">
        <f t="shared" si="6"/>
        <v>0</v>
      </c>
      <c r="L25" s="42">
        <f t="shared" si="6"/>
        <v>0</v>
      </c>
      <c r="M25" s="42">
        <f t="shared" si="6"/>
        <v>0</v>
      </c>
      <c r="N25" s="42">
        <f t="shared" si="6"/>
        <v>0</v>
      </c>
      <c r="O25" s="42">
        <f t="shared" si="6"/>
        <v>0</v>
      </c>
      <c r="P25" s="42">
        <f t="shared" si="6"/>
        <v>0</v>
      </c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>
      <c r="B26" s="17"/>
      <c r="C26" s="17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7"/>
    </row>
    <row r="27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106" ht="18.75" customHeight="1"/>
    <row r="318">
      <c r="Q318" s="17"/>
    </row>
    <row r="319">
      <c r="Q319" s="17"/>
    </row>
    <row r="320">
      <c r="Q320" s="17"/>
    </row>
    <row r="321">
      <c r="Q321" s="17"/>
    </row>
    <row r="322">
      <c r="Q322" s="17"/>
    </row>
    <row r="323">
      <c r="Q323" s="17"/>
    </row>
    <row r="324">
      <c r="Q324" s="17"/>
    </row>
    <row r="325">
      <c r="Q325" s="17"/>
    </row>
    <row r="326">
      <c r="Q326" s="17"/>
    </row>
    <row r="327">
      <c r="Q327" s="17"/>
    </row>
    <row r="328">
      <c r="Q328" s="17"/>
    </row>
    <row r="329">
      <c r="Q329" s="17"/>
    </row>
    <row r="330">
      <c r="Q330" s="17"/>
    </row>
    <row r="331">
      <c r="Q331" s="17"/>
    </row>
    <row r="332">
      <c r="Q332" s="17"/>
    </row>
    <row r="333">
      <c r="Q333" s="17"/>
    </row>
    <row r="334">
      <c r="Q334" s="17"/>
    </row>
    <row r="335">
      <c r="Q335" s="17"/>
    </row>
    <row r="336">
      <c r="Q336" s="17"/>
    </row>
    <row r="337">
      <c r="Q337" s="17"/>
    </row>
    <row r="338">
      <c r="Q338" s="17"/>
    </row>
    <row r="339">
      <c r="Q339" s="17"/>
    </row>
    <row r="340">
      <c r="Q340" s="17"/>
    </row>
    <row r="341">
      <c r="Q341" s="17"/>
    </row>
    <row r="342">
      <c r="Q342" s="17"/>
    </row>
    <row r="343">
      <c r="Q343" s="17"/>
    </row>
    <row r="344">
      <c r="Q344" s="17"/>
    </row>
    <row r="345">
      <c r="Q345" s="17"/>
    </row>
    <row r="346">
      <c r="Q346" s="17"/>
    </row>
    <row r="347">
      <c r="Q347" s="17"/>
    </row>
    <row r="348">
      <c r="Q348" s="17"/>
    </row>
    <row r="349">
      <c r="Q349" s="17"/>
    </row>
    <row r="350">
      <c r="Q350" s="17"/>
    </row>
    <row r="351">
      <c r="Q351" s="17"/>
    </row>
    <row r="352">
      <c r="Q352" s="17"/>
    </row>
    <row r="353">
      <c r="Q353" s="17"/>
    </row>
    <row r="354">
      <c r="Q354" s="17"/>
    </row>
    <row r="355">
      <c r="Q355" s="17"/>
    </row>
    <row r="356">
      <c r="Q356" s="17"/>
    </row>
    <row r="357">
      <c r="Q357" s="17"/>
    </row>
    <row r="358">
      <c r="Q358" s="17"/>
    </row>
    <row r="359">
      <c r="Q359" s="17"/>
    </row>
    <row r="360">
      <c r="Q360" s="17"/>
    </row>
    <row r="361">
      <c r="Q361" s="17"/>
    </row>
    <row r="362">
      <c r="Q362" s="17"/>
    </row>
    <row r="363">
      <c r="Q363" s="17"/>
    </row>
    <row r="364">
      <c r="Q364" s="17"/>
    </row>
    <row r="365">
      <c r="Q365" s="17"/>
    </row>
    <row r="366">
      <c r="Q366" s="17"/>
    </row>
    <row r="367">
      <c r="Q367" s="17"/>
    </row>
    <row r="368">
      <c r="Q368" s="17"/>
    </row>
    <row r="369">
      <c r="Q369" s="17"/>
    </row>
    <row r="370">
      <c r="Q370" s="17"/>
    </row>
    <row r="371">
      <c r="Q371" s="17"/>
    </row>
    <row r="372">
      <c r="Q372" s="17"/>
    </row>
    <row r="373">
      <c r="Q373" s="17"/>
    </row>
    <row r="374">
      <c r="Q374" s="17"/>
    </row>
    <row r="375">
      <c r="Q375" s="17"/>
    </row>
    <row r="376">
      <c r="Q376" s="17"/>
    </row>
    <row r="377">
      <c r="Q377" s="17"/>
    </row>
    <row r="378">
      <c r="Q378" s="17"/>
    </row>
    <row r="379">
      <c r="Q379" s="17"/>
    </row>
    <row r="380">
      <c r="Q380" s="17"/>
    </row>
    <row r="381">
      <c r="Q381" s="17"/>
    </row>
    <row r="382">
      <c r="Q382" s="17"/>
    </row>
    <row r="383">
      <c r="Q383" s="17"/>
    </row>
    <row r="384">
      <c r="Q384" s="17"/>
    </row>
    <row r="385">
      <c r="Q385" s="17"/>
    </row>
    <row r="386">
      <c r="Q386" s="17"/>
    </row>
    <row r="387">
      <c r="Q387" s="17"/>
    </row>
    <row r="388">
      <c r="Q388" s="17"/>
    </row>
    <row r="389">
      <c r="Q389" s="17"/>
    </row>
    <row r="390">
      <c r="Q390" s="17"/>
    </row>
    <row r="391">
      <c r="Q391" s="17"/>
    </row>
    <row r="392">
      <c r="Q392" s="17"/>
    </row>
    <row r="393">
      <c r="Q393" s="17"/>
    </row>
    <row r="394">
      <c r="Q394" s="17"/>
    </row>
    <row r="395">
      <c r="Q395" s="17"/>
    </row>
    <row r="396">
      <c r="Q396" s="17"/>
    </row>
    <row r="397">
      <c r="Q397" s="17"/>
    </row>
    <row r="398">
      <c r="Q398" s="17"/>
    </row>
    <row r="399">
      <c r="Q399" s="17"/>
    </row>
    <row r="400">
      <c r="Q400" s="17"/>
    </row>
    <row r="401">
      <c r="Q401" s="17"/>
    </row>
    <row r="402">
      <c r="Q402" s="17"/>
    </row>
    <row r="403">
      <c r="Q403" s="17"/>
    </row>
    <row r="404">
      <c r="Q404" s="17"/>
    </row>
    <row r="405">
      <c r="Q405" s="17"/>
    </row>
    <row r="406">
      <c r="Q406" s="17"/>
    </row>
    <row r="407">
      <c r="Q407" s="17"/>
    </row>
    <row r="408">
      <c r="Q408" s="17"/>
    </row>
    <row r="409">
      <c r="Q409" s="17"/>
    </row>
    <row r="410">
      <c r="Q410" s="17"/>
    </row>
    <row r="411">
      <c r="Q411" s="17"/>
    </row>
    <row r="412">
      <c r="Q412" s="17"/>
    </row>
    <row r="413">
      <c r="Q413" s="17"/>
    </row>
    <row r="414">
      <c r="Q414" s="17"/>
    </row>
    <row r="415">
      <c r="Q415" s="17"/>
    </row>
    <row r="416">
      <c r="Q416" s="17"/>
    </row>
    <row r="417">
      <c r="Q417" s="17"/>
    </row>
    <row r="418">
      <c r="Q418" s="17"/>
    </row>
    <row r="419">
      <c r="Q419" s="17"/>
    </row>
    <row r="420">
      <c r="Q420" s="17"/>
    </row>
    <row r="421">
      <c r="Q421" s="17"/>
    </row>
    <row r="422">
      <c r="Q422" s="17"/>
    </row>
    <row r="423">
      <c r="Q423" s="17"/>
    </row>
    <row r="424">
      <c r="Q424" s="17"/>
    </row>
    <row r="425">
      <c r="Q425" s="17"/>
    </row>
    <row r="426">
      <c r="Q426" s="17"/>
    </row>
    <row r="427">
      <c r="Q427" s="17"/>
    </row>
    <row r="428">
      <c r="Q428" s="17"/>
    </row>
    <row r="429">
      <c r="Q429" s="17"/>
    </row>
    <row r="430">
      <c r="Q430" s="17"/>
    </row>
    <row r="431">
      <c r="Q431" s="17"/>
    </row>
    <row r="432">
      <c r="Q432" s="17"/>
    </row>
    <row r="433">
      <c r="Q433" s="17"/>
    </row>
    <row r="434">
      <c r="Q434" s="17"/>
    </row>
    <row r="435">
      <c r="Q435" s="17"/>
    </row>
    <row r="436">
      <c r="Q436" s="17"/>
    </row>
    <row r="437">
      <c r="Q437" s="17"/>
    </row>
    <row r="438">
      <c r="Q438" s="17"/>
    </row>
    <row r="439">
      <c r="Q439" s="17"/>
    </row>
    <row r="440">
      <c r="Q440" s="17"/>
    </row>
    <row r="441">
      <c r="Q441" s="17"/>
    </row>
    <row r="442">
      <c r="Q442" s="17"/>
    </row>
    <row r="443">
      <c r="Q443" s="17"/>
    </row>
    <row r="444">
      <c r="Q444" s="17"/>
    </row>
    <row r="445">
      <c r="Q445" s="17"/>
    </row>
    <row r="446">
      <c r="Q446" s="17"/>
    </row>
    <row r="447">
      <c r="Q447" s="17"/>
    </row>
    <row r="448">
      <c r="Q448" s="17"/>
    </row>
    <row r="449">
      <c r="Q449" s="17"/>
    </row>
    <row r="450">
      <c r="Q450" s="17"/>
    </row>
    <row r="451">
      <c r="Q451" s="17"/>
    </row>
    <row r="452">
      <c r="Q452" s="17"/>
    </row>
    <row r="453">
      <c r="Q453" s="17"/>
    </row>
    <row r="454">
      <c r="Q454" s="17"/>
    </row>
    <row r="455">
      <c r="Q455" s="17"/>
    </row>
    <row r="456">
      <c r="Q456" s="17"/>
    </row>
    <row r="457">
      <c r="Q457" s="17"/>
    </row>
    <row r="458">
      <c r="Q458" s="17"/>
    </row>
    <row r="459">
      <c r="Q459" s="17"/>
    </row>
    <row r="460">
      <c r="Q460" s="17"/>
    </row>
    <row r="461">
      <c r="Q461" s="17"/>
    </row>
    <row r="462">
      <c r="Q462" s="17"/>
    </row>
    <row r="463">
      <c r="Q463" s="17"/>
    </row>
    <row r="464">
      <c r="Q464" s="17"/>
    </row>
    <row r="465">
      <c r="Q465" s="17"/>
    </row>
    <row r="466">
      <c r="Q466" s="17"/>
    </row>
    <row r="467">
      <c r="Q467" s="17"/>
    </row>
    <row r="468">
      <c r="Q468" s="17"/>
    </row>
    <row r="469">
      <c r="Q469" s="17"/>
    </row>
    <row r="470">
      <c r="Q470" s="17"/>
    </row>
    <row r="471">
      <c r="Q471" s="17"/>
    </row>
    <row r="472">
      <c r="Q472" s="17"/>
    </row>
    <row r="473">
      <c r="Q473" s="17"/>
    </row>
    <row r="474">
      <c r="Q474" s="17"/>
    </row>
    <row r="475">
      <c r="Q475" s="17"/>
    </row>
    <row r="476">
      <c r="Q476" s="17"/>
    </row>
    <row r="477">
      <c r="Q477" s="17"/>
    </row>
    <row r="478">
      <c r="Q478" s="17"/>
    </row>
    <row r="479">
      <c r="Q479" s="17"/>
    </row>
    <row r="480">
      <c r="Q480" s="17"/>
    </row>
    <row r="481">
      <c r="Q481" s="17"/>
    </row>
    <row r="482">
      <c r="Q482" s="17"/>
    </row>
    <row r="483">
      <c r="Q483" s="17"/>
    </row>
    <row r="484">
      <c r="Q484" s="17"/>
    </row>
    <row r="485">
      <c r="Q485" s="17"/>
    </row>
    <row r="486">
      <c r="Q486" s="17"/>
    </row>
    <row r="487">
      <c r="Q487" s="17"/>
    </row>
    <row r="488">
      <c r="Q488" s="17"/>
    </row>
    <row r="489">
      <c r="Q489" s="17"/>
    </row>
    <row r="490">
      <c r="Q490" s="17"/>
    </row>
    <row r="491">
      <c r="Q491" s="17"/>
    </row>
    <row r="492">
      <c r="Q492" s="17"/>
    </row>
    <row r="493">
      <c r="Q493" s="17"/>
    </row>
    <row r="494">
      <c r="Q494" s="17"/>
    </row>
    <row r="495">
      <c r="Q495" s="17"/>
    </row>
    <row r="496">
      <c r="Q496" s="17"/>
    </row>
    <row r="497">
      <c r="Q497" s="17"/>
    </row>
    <row r="498">
      <c r="Q498" s="17"/>
    </row>
    <row r="499">
      <c r="Q499" s="17"/>
    </row>
    <row r="500">
      <c r="Q500" s="17"/>
    </row>
    <row r="501">
      <c r="Q501" s="17"/>
    </row>
    <row r="502">
      <c r="Q502" s="17"/>
    </row>
    <row r="503">
      <c r="Q503" s="17"/>
    </row>
    <row r="504">
      <c r="Q504" s="17"/>
    </row>
    <row r="505">
      <c r="Q505" s="17"/>
    </row>
    <row r="506">
      <c r="Q506" s="17"/>
    </row>
    <row r="507">
      <c r="Q507" s="17"/>
    </row>
    <row r="508">
      <c r="Q508" s="17"/>
    </row>
    <row r="509">
      <c r="Q509" s="17"/>
    </row>
    <row r="510">
      <c r="Q510" s="17"/>
    </row>
    <row r="511">
      <c r="Q511" s="17"/>
    </row>
    <row r="512">
      <c r="Q512" s="17"/>
    </row>
    <row r="513">
      <c r="Q513" s="17"/>
    </row>
    <row r="514">
      <c r="Q514" s="17"/>
    </row>
    <row r="515">
      <c r="Q515" s="17"/>
    </row>
    <row r="516">
      <c r="Q516" s="17"/>
    </row>
    <row r="517">
      <c r="Q517" s="17"/>
    </row>
    <row r="518">
      <c r="Q518" s="17"/>
    </row>
    <row r="519">
      <c r="Q519" s="17"/>
    </row>
    <row r="520">
      <c r="Q520" s="17"/>
    </row>
    <row r="521">
      <c r="Q521" s="17"/>
    </row>
    <row r="522">
      <c r="Q522" s="17"/>
    </row>
    <row r="523">
      <c r="Q523" s="17"/>
    </row>
    <row r="524">
      <c r="Q524" s="17"/>
    </row>
    <row r="525">
      <c r="Q525" s="17"/>
    </row>
    <row r="526">
      <c r="Q526" s="17"/>
    </row>
    <row r="527">
      <c r="Q527" s="17"/>
    </row>
    <row r="528">
      <c r="Q528" s="17"/>
    </row>
    <row r="529">
      <c r="Q529" s="17"/>
    </row>
    <row r="530">
      <c r="Q530" s="17"/>
    </row>
    <row r="531">
      <c r="Q531" s="17"/>
    </row>
    <row r="532">
      <c r="Q532" s="17"/>
    </row>
    <row r="533">
      <c r="Q533" s="17"/>
    </row>
    <row r="534">
      <c r="Q534" s="17"/>
    </row>
    <row r="535">
      <c r="Q535" s="17"/>
    </row>
    <row r="536">
      <c r="Q536" s="17"/>
    </row>
    <row r="537">
      <c r="Q537" s="17"/>
    </row>
    <row r="538">
      <c r="Q538" s="17"/>
    </row>
    <row r="539">
      <c r="Q539" s="17"/>
    </row>
    <row r="540">
      <c r="Q540" s="17"/>
    </row>
    <row r="541">
      <c r="Q541" s="17"/>
    </row>
    <row r="542">
      <c r="Q542" s="17"/>
    </row>
    <row r="543">
      <c r="Q543" s="17"/>
    </row>
    <row r="544">
      <c r="Q544" s="17"/>
    </row>
    <row r="545">
      <c r="Q545" s="17"/>
    </row>
    <row r="546">
      <c r="Q546" s="17"/>
    </row>
    <row r="547">
      <c r="Q547" s="17"/>
    </row>
    <row r="548">
      <c r="Q548" s="17"/>
    </row>
    <row r="549">
      <c r="Q549" s="17"/>
    </row>
    <row r="550">
      <c r="Q550" s="17"/>
    </row>
    <row r="551">
      <c r="Q551" s="17"/>
    </row>
    <row r="552">
      <c r="Q552" s="17"/>
    </row>
    <row r="553">
      <c r="Q553" s="17"/>
    </row>
    <row r="554">
      <c r="Q554" s="17"/>
    </row>
    <row r="555">
      <c r="Q555" s="17"/>
    </row>
    <row r="556">
      <c r="Q556" s="17"/>
    </row>
    <row r="557">
      <c r="Q557" s="17"/>
    </row>
    <row r="558">
      <c r="Q558" s="17"/>
    </row>
    <row r="559">
      <c r="Q559" s="17"/>
    </row>
    <row r="560">
      <c r="Q560" s="17"/>
    </row>
    <row r="561">
      <c r="Q561" s="17"/>
    </row>
    <row r="562">
      <c r="Q562" s="17"/>
    </row>
    <row r="563">
      <c r="Q563" s="17"/>
    </row>
    <row r="564">
      <c r="Q564" s="17"/>
    </row>
    <row r="565">
      <c r="Q565" s="17"/>
    </row>
    <row r="566">
      <c r="Q566" s="17"/>
    </row>
    <row r="567">
      <c r="Q567" s="17"/>
    </row>
    <row r="568">
      <c r="Q568" s="17"/>
    </row>
    <row r="569">
      <c r="Q569" s="17"/>
    </row>
    <row r="570">
      <c r="Q570" s="17"/>
    </row>
    <row r="571">
      <c r="Q571" s="17"/>
    </row>
    <row r="572">
      <c r="Q572" s="17"/>
    </row>
    <row r="573">
      <c r="Q573" s="17"/>
    </row>
    <row r="574">
      <c r="Q574" s="17"/>
    </row>
    <row r="575">
      <c r="Q575" s="17"/>
    </row>
    <row r="576">
      <c r="Q576" s="17"/>
    </row>
    <row r="577">
      <c r="Q577" s="17"/>
    </row>
    <row r="578">
      <c r="Q578" s="17"/>
    </row>
    <row r="579">
      <c r="Q579" s="17"/>
    </row>
    <row r="580">
      <c r="Q580" s="17"/>
    </row>
    <row r="581">
      <c r="Q581" s="17"/>
    </row>
    <row r="582">
      <c r="Q582" s="17"/>
    </row>
    <row r="583">
      <c r="Q583" s="17"/>
    </row>
    <row r="584">
      <c r="Q584" s="17"/>
    </row>
    <row r="585">
      <c r="Q585" s="17"/>
    </row>
    <row r="586">
      <c r="Q586" s="17"/>
    </row>
    <row r="587">
      <c r="Q587" s="17"/>
    </row>
    <row r="588">
      <c r="Q588" s="17"/>
    </row>
    <row r="589">
      <c r="Q589" s="17"/>
    </row>
    <row r="590">
      <c r="Q590" s="17"/>
    </row>
    <row r="591">
      <c r="Q591" s="17"/>
    </row>
    <row r="592">
      <c r="Q592" s="17"/>
    </row>
    <row r="593">
      <c r="Q593" s="17"/>
    </row>
    <row r="594">
      <c r="Q594" s="17"/>
    </row>
    <row r="595">
      <c r="Q595" s="17"/>
    </row>
    <row r="596">
      <c r="Q596" s="17"/>
    </row>
    <row r="597">
      <c r="Q597" s="17"/>
    </row>
    <row r="598">
      <c r="Q598" s="17"/>
    </row>
    <row r="599">
      <c r="Q599" s="17"/>
    </row>
    <row r="600">
      <c r="Q600" s="17"/>
    </row>
    <row r="601">
      <c r="Q601" s="17"/>
    </row>
    <row r="602">
      <c r="Q602" s="17"/>
    </row>
    <row r="603">
      <c r="Q603" s="17"/>
    </row>
    <row r="604">
      <c r="Q604" s="17"/>
    </row>
    <row r="605">
      <c r="Q605" s="17"/>
    </row>
    <row r="606">
      <c r="Q606" s="17"/>
    </row>
    <row r="607">
      <c r="Q607" s="17"/>
    </row>
    <row r="608">
      <c r="Q608" s="17"/>
    </row>
    <row r="609">
      <c r="Q609" s="17"/>
    </row>
    <row r="610">
      <c r="Q610" s="17"/>
    </row>
    <row r="611">
      <c r="Q611" s="17"/>
    </row>
    <row r="612">
      <c r="Q612" s="17"/>
    </row>
    <row r="613">
      <c r="Q613" s="17"/>
    </row>
    <row r="614">
      <c r="Q614" s="17"/>
    </row>
    <row r="615">
      <c r="Q615" s="17"/>
    </row>
    <row r="616">
      <c r="Q616" s="17"/>
    </row>
    <row r="617">
      <c r="Q617" s="17"/>
    </row>
    <row r="618">
      <c r="Q618" s="17"/>
    </row>
    <row r="619">
      <c r="Q619" s="17"/>
    </row>
    <row r="620">
      <c r="Q620" s="17"/>
    </row>
    <row r="621">
      <c r="Q621" s="17"/>
    </row>
    <row r="622">
      <c r="Q622" s="17"/>
    </row>
    <row r="623">
      <c r="Q623" s="17"/>
    </row>
    <row r="624">
      <c r="Q624" s="17"/>
    </row>
    <row r="625">
      <c r="Q625" s="17"/>
    </row>
    <row r="626">
      <c r="Q626" s="17"/>
    </row>
    <row r="627">
      <c r="Q627" s="17"/>
    </row>
    <row r="628">
      <c r="Q628" s="17"/>
    </row>
    <row r="629">
      <c r="Q629" s="17"/>
    </row>
    <row r="630">
      <c r="Q630" s="17"/>
    </row>
    <row r="631">
      <c r="Q631" s="17"/>
    </row>
    <row r="632">
      <c r="Q632" s="17"/>
    </row>
    <row r="633">
      <c r="Q633" s="17"/>
    </row>
    <row r="634">
      <c r="Q634" s="17"/>
    </row>
    <row r="635">
      <c r="Q635" s="17"/>
    </row>
    <row r="636">
      <c r="Q636" s="17"/>
    </row>
    <row r="637">
      <c r="Q637" s="17"/>
    </row>
    <row r="638">
      <c r="Q638" s="17"/>
    </row>
    <row r="639">
      <c r="Q639" s="17"/>
    </row>
    <row r="640">
      <c r="Q640" s="17"/>
    </row>
    <row r="641">
      <c r="Q641" s="17"/>
    </row>
    <row r="642">
      <c r="Q642" s="17"/>
    </row>
    <row r="643">
      <c r="Q643" s="17"/>
    </row>
    <row r="644">
      <c r="Q644" s="17"/>
    </row>
    <row r="645">
      <c r="Q645" s="17"/>
    </row>
    <row r="646">
      <c r="Q646" s="17"/>
    </row>
    <row r="647">
      <c r="Q647" s="17"/>
    </row>
    <row r="648">
      <c r="Q648" s="17"/>
    </row>
    <row r="649">
      <c r="Q649" s="17"/>
    </row>
    <row r="650">
      <c r="Q650" s="17"/>
    </row>
    <row r="651">
      <c r="Q651" s="17"/>
    </row>
    <row r="652">
      <c r="Q652" s="17"/>
    </row>
    <row r="653">
      <c r="Q653" s="17"/>
    </row>
    <row r="654">
      <c r="Q654" s="17"/>
    </row>
    <row r="655">
      <c r="Q655" s="17"/>
    </row>
    <row r="656">
      <c r="Q656" s="17"/>
    </row>
    <row r="657">
      <c r="Q657" s="17"/>
    </row>
    <row r="658">
      <c r="Q658" s="17"/>
    </row>
    <row r="659">
      <c r="Q659" s="17"/>
    </row>
    <row r="660">
      <c r="Q660" s="17"/>
    </row>
    <row r="661">
      <c r="Q661" s="17"/>
    </row>
    <row r="662">
      <c r="Q662" s="17"/>
    </row>
    <row r="663">
      <c r="Q663" s="17"/>
    </row>
    <row r="664">
      <c r="Q664" s="17"/>
    </row>
    <row r="665">
      <c r="Q665" s="17"/>
    </row>
    <row r="666">
      <c r="Q666" s="17"/>
    </row>
    <row r="667">
      <c r="Q667" s="17"/>
    </row>
    <row r="668">
      <c r="Q668" s="17"/>
    </row>
    <row r="669">
      <c r="Q669" s="17"/>
    </row>
    <row r="670">
      <c r="Q670" s="17"/>
    </row>
    <row r="671">
      <c r="Q671" s="17"/>
    </row>
    <row r="672">
      <c r="Q672" s="17"/>
    </row>
    <row r="673">
      <c r="Q673" s="17"/>
    </row>
    <row r="674">
      <c r="Q674" s="17"/>
    </row>
    <row r="675">
      <c r="Q675" s="17"/>
    </row>
    <row r="676">
      <c r="Q676" s="17"/>
    </row>
    <row r="677">
      <c r="Q677" s="17"/>
    </row>
    <row r="678">
      <c r="Q678" s="17"/>
    </row>
    <row r="679">
      <c r="Q679" s="17"/>
    </row>
    <row r="680">
      <c r="Q680" s="17"/>
    </row>
    <row r="681">
      <c r="Q681" s="17"/>
    </row>
    <row r="682">
      <c r="Q682" s="17"/>
    </row>
    <row r="683">
      <c r="Q683" s="17"/>
    </row>
    <row r="684">
      <c r="Q684" s="17"/>
    </row>
    <row r="685">
      <c r="Q685" s="17"/>
    </row>
    <row r="686">
      <c r="Q686" s="17"/>
    </row>
    <row r="687">
      <c r="Q687" s="17"/>
    </row>
    <row r="688">
      <c r="Q688" s="17"/>
    </row>
    <row r="689">
      <c r="Q689" s="17"/>
    </row>
    <row r="690">
      <c r="Q690" s="17"/>
    </row>
    <row r="691">
      <c r="Q691" s="17"/>
    </row>
    <row r="692">
      <c r="Q692" s="17"/>
    </row>
    <row r="693">
      <c r="Q693" s="17"/>
    </row>
    <row r="694">
      <c r="Q694" s="17"/>
    </row>
    <row r="695">
      <c r="Q695" s="17"/>
    </row>
    <row r="696">
      <c r="Q696" s="17"/>
    </row>
    <row r="697">
      <c r="Q697" s="17"/>
    </row>
    <row r="698">
      <c r="Q698" s="17"/>
    </row>
    <row r="699">
      <c r="Q699" s="17"/>
    </row>
    <row r="700">
      <c r="Q700" s="17"/>
    </row>
    <row r="701">
      <c r="Q701" s="17"/>
    </row>
    <row r="702">
      <c r="Q702" s="17"/>
    </row>
    <row r="703">
      <c r="Q703" s="17"/>
    </row>
    <row r="704">
      <c r="Q704" s="17"/>
    </row>
    <row r="705">
      <c r="Q705" s="17"/>
    </row>
    <row r="706">
      <c r="Q706" s="17"/>
    </row>
    <row r="707">
      <c r="Q707" s="17"/>
    </row>
    <row r="708">
      <c r="Q708" s="17"/>
    </row>
    <row r="709">
      <c r="Q709" s="17"/>
    </row>
    <row r="710">
      <c r="Q710" s="17"/>
    </row>
    <row r="711">
      <c r="Q711" s="17"/>
    </row>
    <row r="712">
      <c r="Q712" s="17"/>
    </row>
    <row r="713">
      <c r="Q713" s="17"/>
    </row>
    <row r="714">
      <c r="Q714" s="17"/>
    </row>
    <row r="715">
      <c r="Q715" s="17"/>
    </row>
    <row r="716">
      <c r="Q716" s="17"/>
    </row>
    <row r="717">
      <c r="Q717" s="17"/>
    </row>
    <row r="718">
      <c r="Q718" s="17"/>
    </row>
    <row r="719">
      <c r="Q719" s="17"/>
    </row>
    <row r="720">
      <c r="Q720" s="17"/>
    </row>
    <row r="721">
      <c r="Q721" s="17"/>
    </row>
    <row r="722">
      <c r="Q722" s="17"/>
    </row>
    <row r="723">
      <c r="Q723" s="17"/>
    </row>
    <row r="724">
      <c r="Q724" s="17"/>
    </row>
    <row r="725">
      <c r="Q725" s="17"/>
    </row>
    <row r="726">
      <c r="Q726" s="17"/>
    </row>
    <row r="727">
      <c r="Q727" s="17"/>
    </row>
    <row r="728">
      <c r="Q728" s="17"/>
    </row>
    <row r="729">
      <c r="Q729" s="17"/>
    </row>
    <row r="730">
      <c r="Q730" s="17"/>
    </row>
    <row r="731">
      <c r="Q731" s="17"/>
    </row>
    <row r="732">
      <c r="Q732" s="17"/>
    </row>
    <row r="733">
      <c r="Q733" s="17"/>
    </row>
    <row r="734">
      <c r="Q734" s="17"/>
    </row>
    <row r="735">
      <c r="Q735" s="17"/>
    </row>
    <row r="736">
      <c r="Q736" s="17"/>
    </row>
    <row r="737">
      <c r="Q737" s="17"/>
    </row>
    <row r="738">
      <c r="Q738" s="17"/>
    </row>
    <row r="739">
      <c r="Q739" s="17"/>
    </row>
    <row r="740">
      <c r="Q740" s="17"/>
    </row>
    <row r="741">
      <c r="Q741" s="17"/>
    </row>
    <row r="742">
      <c r="Q742" s="17"/>
    </row>
    <row r="743">
      <c r="Q743" s="17"/>
    </row>
    <row r="744">
      <c r="Q744" s="17"/>
    </row>
    <row r="745">
      <c r="Q745" s="17"/>
    </row>
    <row r="746">
      <c r="Q746" s="17"/>
    </row>
    <row r="747">
      <c r="Q747" s="17"/>
    </row>
    <row r="748">
      <c r="Q748" s="17"/>
    </row>
    <row r="749">
      <c r="Q749" s="17"/>
    </row>
    <row r="750">
      <c r="Q750" s="17"/>
    </row>
    <row r="751">
      <c r="Q751" s="17"/>
    </row>
    <row r="752">
      <c r="Q752" s="17"/>
    </row>
    <row r="753">
      <c r="Q753" s="17"/>
    </row>
    <row r="754">
      <c r="Q754" s="17"/>
    </row>
    <row r="755">
      <c r="Q755" s="17"/>
    </row>
    <row r="756">
      <c r="Q756" s="17"/>
    </row>
    <row r="757">
      <c r="Q757" s="17"/>
    </row>
    <row r="758">
      <c r="Q758" s="17"/>
    </row>
    <row r="759">
      <c r="Q759" s="17"/>
    </row>
    <row r="760">
      <c r="Q760" s="17"/>
    </row>
    <row r="761">
      <c r="Q761" s="17"/>
    </row>
    <row r="762">
      <c r="Q762" s="17"/>
    </row>
    <row r="763">
      <c r="Q763" s="17"/>
    </row>
    <row r="764">
      <c r="Q764" s="17"/>
    </row>
    <row r="765">
      <c r="Q765" s="17"/>
    </row>
    <row r="766">
      <c r="Q766" s="17"/>
    </row>
    <row r="767">
      <c r="Q767" s="17"/>
    </row>
    <row r="768">
      <c r="Q768" s="17"/>
    </row>
    <row r="769">
      <c r="Q769" s="17"/>
    </row>
    <row r="770">
      <c r="Q770" s="17"/>
    </row>
    <row r="771">
      <c r="Q771" s="17"/>
    </row>
    <row r="772">
      <c r="Q772" s="17"/>
    </row>
    <row r="773">
      <c r="Q773" s="17"/>
    </row>
    <row r="774">
      <c r="Q774" s="17"/>
    </row>
    <row r="775">
      <c r="Q775" s="17"/>
    </row>
    <row r="776">
      <c r="Q776" s="17"/>
    </row>
    <row r="777">
      <c r="Q777" s="17"/>
    </row>
    <row r="778">
      <c r="Q778" s="17"/>
    </row>
    <row r="779">
      <c r="Q779" s="17"/>
    </row>
    <row r="780">
      <c r="Q780" s="17"/>
    </row>
    <row r="781">
      <c r="Q781" s="17"/>
    </row>
    <row r="782">
      <c r="Q782" s="17"/>
    </row>
    <row r="783">
      <c r="Q783" s="17"/>
    </row>
    <row r="784">
      <c r="Q784" s="17"/>
    </row>
    <row r="785">
      <c r="Q785" s="17"/>
    </row>
    <row r="786">
      <c r="Q786" s="17"/>
    </row>
    <row r="787">
      <c r="Q787" s="17"/>
    </row>
    <row r="788">
      <c r="Q788" s="17"/>
    </row>
    <row r="789">
      <c r="Q789" s="17"/>
    </row>
    <row r="790">
      <c r="Q790" s="17"/>
    </row>
    <row r="791">
      <c r="Q791" s="17"/>
    </row>
    <row r="792">
      <c r="Q792" s="17"/>
    </row>
    <row r="793">
      <c r="Q793" s="17"/>
    </row>
    <row r="794">
      <c r="Q794" s="17"/>
    </row>
    <row r="795">
      <c r="Q795" s="17"/>
    </row>
    <row r="796">
      <c r="Q796" s="17"/>
    </row>
    <row r="797">
      <c r="Q797" s="17"/>
    </row>
    <row r="798">
      <c r="Q798" s="17"/>
    </row>
    <row r="799">
      <c r="Q799" s="17"/>
    </row>
    <row r="800">
      <c r="Q800" s="17"/>
    </row>
    <row r="801">
      <c r="Q801" s="17"/>
    </row>
    <row r="802">
      <c r="Q802" s="17"/>
    </row>
    <row r="803">
      <c r="Q803" s="17"/>
    </row>
    <row r="804">
      <c r="Q804" s="17"/>
    </row>
    <row r="805">
      <c r="Q805" s="17"/>
    </row>
    <row r="806">
      <c r="Q806" s="17"/>
    </row>
    <row r="807">
      <c r="Q807" s="17"/>
    </row>
    <row r="808">
      <c r="Q808" s="17"/>
    </row>
    <row r="809">
      <c r="Q809" s="17"/>
    </row>
    <row r="810">
      <c r="Q810" s="17"/>
    </row>
    <row r="811">
      <c r="Q811" s="17"/>
    </row>
    <row r="812">
      <c r="Q812" s="17"/>
    </row>
    <row r="813">
      <c r="Q813" s="17"/>
    </row>
    <row r="814">
      <c r="Q814" s="17"/>
    </row>
    <row r="815">
      <c r="Q815" s="17"/>
    </row>
    <row r="816">
      <c r="Q816" s="17"/>
    </row>
    <row r="817">
      <c r="Q817" s="17"/>
    </row>
    <row r="818">
      <c r="Q818" s="17"/>
    </row>
    <row r="819">
      <c r="Q819" s="17"/>
    </row>
    <row r="820">
      <c r="Q820" s="17"/>
    </row>
    <row r="821">
      <c r="Q821" s="17"/>
    </row>
    <row r="822">
      <c r="Q822" s="17"/>
    </row>
    <row r="823">
      <c r="Q823" s="17"/>
    </row>
    <row r="824">
      <c r="Q824" s="17"/>
    </row>
    <row r="825">
      <c r="Q825" s="17"/>
    </row>
    <row r="826">
      <c r="Q826" s="17"/>
    </row>
    <row r="827">
      <c r="Q827" s="17"/>
    </row>
    <row r="828">
      <c r="Q828" s="17"/>
    </row>
    <row r="829">
      <c r="Q829" s="17"/>
    </row>
    <row r="830">
      <c r="Q830" s="17"/>
    </row>
    <row r="831">
      <c r="Q831" s="17"/>
    </row>
    <row r="832">
      <c r="Q832" s="17"/>
    </row>
    <row r="833">
      <c r="Q833" s="17"/>
    </row>
    <row r="834">
      <c r="Q834" s="17"/>
    </row>
    <row r="835">
      <c r="Q835" s="17"/>
    </row>
    <row r="836">
      <c r="Q836" s="17"/>
    </row>
    <row r="837">
      <c r="Q837" s="17"/>
    </row>
    <row r="838">
      <c r="Q838" s="17"/>
    </row>
    <row r="839">
      <c r="Q839" s="17"/>
    </row>
    <row r="840">
      <c r="Q840" s="17"/>
    </row>
    <row r="841">
      <c r="Q841" s="17"/>
    </row>
    <row r="842">
      <c r="Q842" s="17"/>
    </row>
    <row r="843">
      <c r="Q843" s="17"/>
    </row>
    <row r="844">
      <c r="Q844" s="17"/>
    </row>
    <row r="845">
      <c r="Q845" s="17"/>
    </row>
    <row r="846">
      <c r="Q846" s="17"/>
    </row>
    <row r="847">
      <c r="Q847" s="17"/>
    </row>
    <row r="848">
      <c r="Q848" s="17"/>
    </row>
    <row r="849">
      <c r="Q849" s="17"/>
    </row>
    <row r="850">
      <c r="Q850" s="17"/>
    </row>
    <row r="851">
      <c r="Q851" s="17"/>
    </row>
    <row r="852">
      <c r="Q852" s="17"/>
    </row>
    <row r="853">
      <c r="Q853" s="17"/>
    </row>
    <row r="854">
      <c r="Q854" s="17"/>
    </row>
    <row r="855">
      <c r="Q855" s="17"/>
    </row>
    <row r="856">
      <c r="Q856" s="17"/>
    </row>
    <row r="857">
      <c r="Q857" s="17"/>
    </row>
    <row r="858">
      <c r="Q858" s="17"/>
    </row>
    <row r="859">
      <c r="Q859" s="17"/>
    </row>
    <row r="860">
      <c r="Q860" s="17"/>
    </row>
    <row r="861">
      <c r="Q861" s="17"/>
    </row>
    <row r="862">
      <c r="Q862" s="17"/>
    </row>
    <row r="863">
      <c r="Q863" s="17"/>
    </row>
    <row r="864">
      <c r="Q864" s="17"/>
    </row>
    <row r="865">
      <c r="Q865" s="17"/>
    </row>
    <row r="866">
      <c r="Q866" s="17"/>
    </row>
    <row r="867">
      <c r="Q867" s="17"/>
    </row>
    <row r="868">
      <c r="Q868" s="17"/>
    </row>
    <row r="869">
      <c r="Q869" s="17"/>
    </row>
    <row r="870">
      <c r="Q870" s="17"/>
    </row>
    <row r="871">
      <c r="Q871" s="17"/>
    </row>
    <row r="872">
      <c r="Q872" s="17"/>
    </row>
    <row r="873">
      <c r="Q873" s="17"/>
    </row>
    <row r="874">
      <c r="Q874" s="17"/>
    </row>
    <row r="875">
      <c r="Q875" s="17"/>
    </row>
    <row r="876">
      <c r="Q876" s="17"/>
    </row>
    <row r="877">
      <c r="Q877" s="17"/>
    </row>
    <row r="878">
      <c r="Q878" s="17"/>
    </row>
    <row r="879">
      <c r="Q879" s="17"/>
    </row>
    <row r="880">
      <c r="Q880" s="17"/>
    </row>
    <row r="881">
      <c r="Q881" s="17"/>
    </row>
    <row r="882">
      <c r="Q882" s="17"/>
    </row>
    <row r="883">
      <c r="Q883" s="17"/>
    </row>
    <row r="884">
      <c r="Q884" s="17"/>
    </row>
    <row r="885">
      <c r="Q885" s="17"/>
    </row>
    <row r="886">
      <c r="Q886" s="17"/>
    </row>
    <row r="887">
      <c r="Q887" s="17"/>
    </row>
    <row r="888">
      <c r="Q888" s="17"/>
    </row>
    <row r="889">
      <c r="Q889" s="17"/>
    </row>
    <row r="890">
      <c r="Q890" s="17"/>
    </row>
    <row r="891">
      <c r="Q891" s="17"/>
    </row>
    <row r="892">
      <c r="Q892" s="17"/>
    </row>
    <row r="893">
      <c r="Q893" s="17"/>
    </row>
    <row r="894">
      <c r="Q894" s="17"/>
    </row>
    <row r="895">
      <c r="Q895" s="17"/>
    </row>
    <row r="896">
      <c r="Q896" s="17"/>
    </row>
    <row r="897">
      <c r="Q897" s="17"/>
    </row>
    <row r="898">
      <c r="Q898" s="17"/>
    </row>
    <row r="899">
      <c r="Q899" s="17"/>
    </row>
    <row r="900">
      <c r="Q900" s="17"/>
    </row>
    <row r="901">
      <c r="Q901" s="17"/>
    </row>
    <row r="902">
      <c r="Q902" s="17"/>
    </row>
    <row r="903">
      <c r="Q903" s="17"/>
    </row>
    <row r="904">
      <c r="Q904" s="17"/>
    </row>
    <row r="905">
      <c r="Q905" s="17"/>
    </row>
    <row r="906">
      <c r="Q906" s="17"/>
    </row>
    <row r="907">
      <c r="Q907" s="17"/>
    </row>
    <row r="908">
      <c r="Q908" s="17"/>
    </row>
    <row r="909">
      <c r="Q909" s="17"/>
    </row>
    <row r="910">
      <c r="Q910" s="17"/>
    </row>
    <row r="911">
      <c r="Q911" s="17"/>
    </row>
    <row r="912">
      <c r="Q912" s="17"/>
    </row>
    <row r="913">
      <c r="Q913" s="17"/>
    </row>
    <row r="914">
      <c r="Q914" s="17"/>
    </row>
    <row r="915">
      <c r="Q915" s="17"/>
    </row>
    <row r="916">
      <c r="Q916" s="17"/>
    </row>
    <row r="917">
      <c r="Q917" s="17"/>
    </row>
    <row r="918">
      <c r="Q918" s="17"/>
    </row>
    <row r="919">
      <c r="Q919" s="17"/>
    </row>
    <row r="920">
      <c r="Q920" s="17"/>
    </row>
    <row r="921">
      <c r="Q921" s="17"/>
    </row>
    <row r="922">
      <c r="Q922" s="17"/>
    </row>
    <row r="923">
      <c r="Q923" s="17"/>
    </row>
    <row r="924">
      <c r="Q924" s="17"/>
    </row>
    <row r="925">
      <c r="Q925" s="17"/>
    </row>
    <row r="926">
      <c r="Q926" s="17"/>
    </row>
    <row r="927">
      <c r="Q927" s="17"/>
    </row>
    <row r="928">
      <c r="Q928" s="17"/>
    </row>
    <row r="929">
      <c r="Q929" s="17"/>
    </row>
    <row r="930">
      <c r="Q930" s="17"/>
    </row>
    <row r="931">
      <c r="Q931" s="17"/>
    </row>
    <row r="932">
      <c r="Q932" s="17"/>
    </row>
    <row r="933">
      <c r="Q933" s="17"/>
    </row>
    <row r="934">
      <c r="Q934" s="17"/>
    </row>
    <row r="935">
      <c r="Q935" s="17"/>
    </row>
    <row r="936">
      <c r="Q936" s="17"/>
    </row>
    <row r="937">
      <c r="Q937" s="17"/>
    </row>
    <row r="938">
      <c r="Q938" s="17"/>
    </row>
    <row r="939">
      <c r="Q939" s="17"/>
    </row>
    <row r="940">
      <c r="Q940" s="17"/>
    </row>
    <row r="941">
      <c r="Q941" s="17"/>
    </row>
    <row r="942">
      <c r="Q942" s="17"/>
    </row>
    <row r="943">
      <c r="Q943" s="17"/>
    </row>
    <row r="944">
      <c r="Q944" s="17"/>
    </row>
    <row r="945">
      <c r="Q945" s="17"/>
    </row>
    <row r="946">
      <c r="Q946" s="17"/>
    </row>
    <row r="947">
      <c r="Q947" s="17"/>
    </row>
    <row r="948">
      <c r="Q948" s="17"/>
    </row>
    <row r="949">
      <c r="Q949" s="17"/>
    </row>
    <row r="950">
      <c r="Q950" s="17"/>
    </row>
    <row r="951">
      <c r="Q951" s="17"/>
    </row>
    <row r="952">
      <c r="Q952" s="17"/>
    </row>
    <row r="953">
      <c r="Q953" s="17"/>
    </row>
    <row r="954">
      <c r="Q954" s="17"/>
    </row>
    <row r="955">
      <c r="Q955" s="17"/>
    </row>
    <row r="956">
      <c r="Q956" s="17"/>
    </row>
    <row r="957">
      <c r="Q957" s="17"/>
    </row>
    <row r="958">
      <c r="Q958" s="17"/>
    </row>
    <row r="959">
      <c r="Q959" s="17"/>
    </row>
    <row r="960">
      <c r="Q960" s="17"/>
    </row>
    <row r="961">
      <c r="Q961" s="17"/>
    </row>
    <row r="962">
      <c r="Q962" s="17"/>
    </row>
    <row r="963">
      <c r="Q963" s="17"/>
    </row>
    <row r="964">
      <c r="Q964" s="17"/>
    </row>
    <row r="965">
      <c r="Q965" s="17"/>
    </row>
    <row r="966">
      <c r="Q966" s="17"/>
    </row>
    <row r="967">
      <c r="Q967" s="17"/>
    </row>
    <row r="968">
      <c r="Q968" s="17"/>
    </row>
    <row r="969">
      <c r="Q969" s="17"/>
    </row>
    <row r="970">
      <c r="Q970" s="17"/>
    </row>
    <row r="971">
      <c r="Q971" s="17"/>
    </row>
    <row r="972">
      <c r="Q972" s="17"/>
    </row>
    <row r="973">
      <c r="Q973" s="17"/>
    </row>
    <row r="974">
      <c r="Q974" s="17"/>
    </row>
    <row r="975">
      <c r="Q975" s="17"/>
    </row>
    <row r="976">
      <c r="Q976" s="17"/>
    </row>
    <row r="977">
      <c r="Q977" s="17"/>
    </row>
    <row r="978">
      <c r="Q978" s="17"/>
    </row>
    <row r="979">
      <c r="Q979" s="17"/>
    </row>
    <row r="980">
      <c r="Q980" s="17"/>
    </row>
    <row r="981">
      <c r="Q981" s="17"/>
    </row>
    <row r="982">
      <c r="Q982" s="17"/>
    </row>
    <row r="983">
      <c r="Q983" s="17"/>
    </row>
    <row r="984">
      <c r="Q984" s="17"/>
    </row>
    <row r="985">
      <c r="Q985" s="17"/>
    </row>
    <row r="986">
      <c r="Q986" s="17"/>
    </row>
    <row r="987">
      <c r="Q987" s="17"/>
    </row>
    <row r="988">
      <c r="Q988" s="17"/>
    </row>
    <row r="989">
      <c r="Q989" s="17"/>
    </row>
    <row r="990">
      <c r="Q990" s="17"/>
    </row>
    <row r="991">
      <c r="Q991" s="17"/>
    </row>
    <row r="992">
      <c r="Q992" s="17"/>
    </row>
    <row r="993">
      <c r="Q993" s="17"/>
    </row>
    <row r="994">
      <c r="Q994" s="17"/>
    </row>
    <row r="995">
      <c r="Q995" s="17"/>
    </row>
    <row r="996">
      <c r="Q996" s="17"/>
    </row>
    <row r="997">
      <c r="Q997" s="17"/>
    </row>
    <row r="998">
      <c r="Q998" s="17"/>
    </row>
    <row r="999">
      <c r="Q999" s="17"/>
    </row>
  </sheetData>
  <dataValidations>
    <dataValidation type="list" allowBlank="1" showErrorMessage="1" sqref="C10:C11 C16:C21">
      <formula1>'Konfigurasi ⚙'!$D$3:$D$5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13"/>
    <col customWidth="1" min="2" max="2" width="6.63"/>
    <col customWidth="1" min="3" max="3" width="10.0"/>
    <col customWidth="1" min="4" max="4" width="22.25"/>
    <col customWidth="1" min="5" max="5" width="22.63"/>
    <col customWidth="1" min="6" max="6" width="19.88"/>
    <col customWidth="1" min="7" max="7" width="20.63"/>
    <col customWidth="1" min="8" max="8" width="3.13"/>
  </cols>
  <sheetData>
    <row r="1">
      <c r="C1" s="43"/>
      <c r="F1" s="44"/>
    </row>
    <row r="2" ht="25.5" customHeight="1">
      <c r="A2" s="45"/>
      <c r="B2" s="46" t="s">
        <v>27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</row>
    <row r="3" ht="6.0" customHeight="1">
      <c r="F3" s="44"/>
    </row>
    <row r="4" ht="24.0" customHeight="1">
      <c r="A4" s="37"/>
      <c r="B4" s="47" t="s">
        <v>28</v>
      </c>
      <c r="C4" s="48" t="s">
        <v>29</v>
      </c>
      <c r="D4" s="49" t="s">
        <v>30</v>
      </c>
      <c r="E4" s="49" t="s">
        <v>31</v>
      </c>
      <c r="F4" s="50" t="s">
        <v>24</v>
      </c>
      <c r="G4" s="49" t="s">
        <v>1</v>
      </c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</row>
    <row r="5" ht="10.5" customHeight="1">
      <c r="A5" s="51"/>
      <c r="B5" s="52"/>
      <c r="C5" s="53"/>
      <c r="D5" s="52"/>
      <c r="E5" s="52"/>
      <c r="F5" s="54"/>
      <c r="G5" s="52"/>
    </row>
    <row r="6">
      <c r="B6" s="8" t="b">
        <v>0</v>
      </c>
      <c r="C6" s="55">
        <v>46023.0</v>
      </c>
      <c r="D6" s="56" t="s">
        <v>32</v>
      </c>
      <c r="E6" s="56" t="s">
        <v>32</v>
      </c>
      <c r="F6" s="57">
        <v>1100000.0</v>
      </c>
      <c r="G6" s="56" t="s">
        <v>20</v>
      </c>
    </row>
    <row r="7">
      <c r="B7" s="8" t="b">
        <v>0</v>
      </c>
      <c r="C7" s="55">
        <v>46023.0</v>
      </c>
      <c r="D7" s="56" t="s">
        <v>33</v>
      </c>
      <c r="E7" s="56" t="s">
        <v>34</v>
      </c>
      <c r="F7" s="57">
        <v>152500.0</v>
      </c>
      <c r="G7" s="56" t="s">
        <v>20</v>
      </c>
    </row>
    <row r="8">
      <c r="B8" s="8" t="b">
        <v>0</v>
      </c>
      <c r="C8" s="55">
        <v>46023.0</v>
      </c>
      <c r="D8" s="56" t="s">
        <v>35</v>
      </c>
      <c r="E8" s="56" t="s">
        <v>34</v>
      </c>
      <c r="F8" s="57">
        <v>2500.0</v>
      </c>
      <c r="G8" s="56" t="s">
        <v>20</v>
      </c>
    </row>
    <row r="9">
      <c r="B9" s="8" t="b">
        <v>0</v>
      </c>
      <c r="C9" s="55">
        <v>46023.0</v>
      </c>
      <c r="D9" s="56" t="s">
        <v>36</v>
      </c>
      <c r="E9" s="56" t="s">
        <v>34</v>
      </c>
      <c r="F9" s="57">
        <v>36000.0</v>
      </c>
      <c r="G9" s="56" t="s">
        <v>20</v>
      </c>
    </row>
    <row r="10">
      <c r="B10" s="8" t="b">
        <v>0</v>
      </c>
      <c r="C10" s="55">
        <v>46023.0</v>
      </c>
      <c r="D10" s="56" t="s">
        <v>37</v>
      </c>
      <c r="E10" s="56" t="s">
        <v>34</v>
      </c>
      <c r="F10" s="57">
        <v>9000.0</v>
      </c>
      <c r="G10" s="56" t="s">
        <v>20</v>
      </c>
    </row>
    <row r="11">
      <c r="B11" s="8" t="b">
        <v>0</v>
      </c>
      <c r="C11" s="55">
        <v>46023.0</v>
      </c>
      <c r="D11" s="56" t="s">
        <v>38</v>
      </c>
      <c r="E11" s="56" t="s">
        <v>34</v>
      </c>
      <c r="F11" s="57">
        <v>74800.0</v>
      </c>
      <c r="G11" s="56" t="s">
        <v>20</v>
      </c>
    </row>
    <row r="12">
      <c r="B12" s="8" t="b">
        <v>0</v>
      </c>
      <c r="C12" s="58">
        <v>46023.0</v>
      </c>
      <c r="D12" s="56" t="s">
        <v>39</v>
      </c>
      <c r="E12" s="56" t="s">
        <v>40</v>
      </c>
      <c r="F12" s="57">
        <v>40000.0</v>
      </c>
      <c r="G12" s="56" t="s">
        <v>20</v>
      </c>
    </row>
    <row r="13">
      <c r="B13" s="8" t="b">
        <v>0</v>
      </c>
      <c r="C13" s="55">
        <v>46023.0</v>
      </c>
      <c r="D13" s="56" t="s">
        <v>41</v>
      </c>
      <c r="E13" s="56" t="s">
        <v>42</v>
      </c>
      <c r="F13" s="57">
        <v>138902.0</v>
      </c>
      <c r="G13" s="56" t="s">
        <v>20</v>
      </c>
    </row>
    <row r="14">
      <c r="B14" s="8" t="b">
        <v>0</v>
      </c>
      <c r="C14" s="55">
        <v>46023.0</v>
      </c>
      <c r="D14" s="56" t="s">
        <v>43</v>
      </c>
      <c r="E14" s="56" t="s">
        <v>34</v>
      </c>
      <c r="F14" s="57">
        <v>45000.0</v>
      </c>
      <c r="G14" s="56" t="s">
        <v>20</v>
      </c>
    </row>
    <row r="15">
      <c r="B15" s="8" t="b">
        <v>0</v>
      </c>
      <c r="C15" s="55">
        <v>46023.0</v>
      </c>
      <c r="D15" s="56" t="s">
        <v>44</v>
      </c>
      <c r="E15" s="56" t="s">
        <v>40</v>
      </c>
      <c r="F15" s="57">
        <v>28000.0</v>
      </c>
      <c r="G15" s="56" t="s">
        <v>20</v>
      </c>
    </row>
    <row r="16">
      <c r="B16" s="8" t="b">
        <v>0</v>
      </c>
      <c r="C16" s="55">
        <v>46023.0</v>
      </c>
      <c r="D16" s="56" t="s">
        <v>45</v>
      </c>
      <c r="E16" s="56" t="s">
        <v>34</v>
      </c>
      <c r="F16" s="57">
        <v>50000.0</v>
      </c>
      <c r="G16" s="56" t="s">
        <v>20</v>
      </c>
    </row>
    <row r="17">
      <c r="B17" s="8" t="b">
        <v>0</v>
      </c>
      <c r="C17" s="55">
        <v>46023.0</v>
      </c>
      <c r="D17" s="56" t="s">
        <v>46</v>
      </c>
      <c r="E17" s="56" t="s">
        <v>34</v>
      </c>
      <c r="F17" s="57">
        <v>50000.0</v>
      </c>
      <c r="G17" s="56" t="s">
        <v>20</v>
      </c>
    </row>
    <row r="18">
      <c r="B18" s="8" t="b">
        <v>0</v>
      </c>
      <c r="C18" s="55">
        <v>46023.0</v>
      </c>
      <c r="D18" s="56" t="s">
        <v>47</v>
      </c>
      <c r="E18" s="56" t="s">
        <v>34</v>
      </c>
      <c r="F18" s="57">
        <v>16000.0</v>
      </c>
      <c r="G18" s="56" t="s">
        <v>20</v>
      </c>
    </row>
    <row r="19">
      <c r="B19" s="8" t="b">
        <v>0</v>
      </c>
      <c r="C19" s="55">
        <v>46023.0</v>
      </c>
      <c r="D19" s="56" t="s">
        <v>48</v>
      </c>
      <c r="E19" s="56" t="s">
        <v>42</v>
      </c>
      <c r="F19" s="57">
        <v>36500.0</v>
      </c>
      <c r="G19" s="56" t="s">
        <v>20</v>
      </c>
    </row>
    <row r="20">
      <c r="B20" s="8" t="b">
        <v>0</v>
      </c>
      <c r="C20" s="55">
        <v>46024.0</v>
      </c>
      <c r="D20" s="56" t="s">
        <v>49</v>
      </c>
      <c r="E20" s="56" t="s">
        <v>34</v>
      </c>
      <c r="F20" s="57">
        <v>50400.0</v>
      </c>
      <c r="G20" s="56" t="s">
        <v>20</v>
      </c>
    </row>
    <row r="21">
      <c r="B21" s="8" t="b">
        <v>0</v>
      </c>
      <c r="C21" s="55">
        <v>46024.0</v>
      </c>
      <c r="D21" s="56" t="s">
        <v>50</v>
      </c>
      <c r="E21" s="56" t="s">
        <v>40</v>
      </c>
      <c r="F21" s="57">
        <v>145300.0</v>
      </c>
      <c r="G21" s="56" t="s">
        <v>20</v>
      </c>
    </row>
    <row r="22">
      <c r="B22" s="8" t="b">
        <v>0</v>
      </c>
      <c r="C22" s="55">
        <v>46032.0</v>
      </c>
      <c r="D22" s="56" t="s">
        <v>51</v>
      </c>
      <c r="E22" s="56" t="s">
        <v>52</v>
      </c>
      <c r="F22" s="57">
        <v>49500.0</v>
      </c>
      <c r="G22" s="56" t="s">
        <v>20</v>
      </c>
    </row>
    <row r="23">
      <c r="B23" s="8" t="b">
        <v>0</v>
      </c>
      <c r="C23" s="55">
        <v>46032.0</v>
      </c>
      <c r="D23" s="56" t="s">
        <v>53</v>
      </c>
      <c r="E23" s="56" t="s">
        <v>52</v>
      </c>
      <c r="F23" s="57">
        <v>105000.0</v>
      </c>
      <c r="G23" s="56" t="s">
        <v>20</v>
      </c>
    </row>
    <row r="24">
      <c r="B24" s="8" t="b">
        <v>0</v>
      </c>
      <c r="C24" s="55">
        <v>46032.0</v>
      </c>
      <c r="D24" s="56" t="s">
        <v>43</v>
      </c>
      <c r="E24" s="56" t="s">
        <v>34</v>
      </c>
      <c r="F24" s="57">
        <v>45085.0</v>
      </c>
      <c r="G24" s="56" t="s">
        <v>20</v>
      </c>
    </row>
    <row r="25">
      <c r="B25" s="8" t="b">
        <v>0</v>
      </c>
      <c r="C25" s="55">
        <v>46033.0</v>
      </c>
      <c r="D25" s="56" t="s">
        <v>54</v>
      </c>
      <c r="E25" s="56" t="s">
        <v>34</v>
      </c>
      <c r="F25" s="57">
        <v>160000.0</v>
      </c>
      <c r="G25" s="56" t="s">
        <v>20</v>
      </c>
    </row>
    <row r="26">
      <c r="B26" s="8" t="b">
        <v>0</v>
      </c>
      <c r="C26" s="55">
        <v>46033.0</v>
      </c>
      <c r="D26" s="56" t="s">
        <v>55</v>
      </c>
      <c r="E26" s="56" t="s">
        <v>34</v>
      </c>
      <c r="F26" s="57">
        <v>19000.0</v>
      </c>
      <c r="G26" s="56" t="s">
        <v>20</v>
      </c>
    </row>
    <row r="27">
      <c r="B27" s="8" t="b">
        <v>0</v>
      </c>
      <c r="C27" s="55">
        <v>46033.0</v>
      </c>
      <c r="D27" s="56" t="s">
        <v>56</v>
      </c>
      <c r="E27" s="56" t="s">
        <v>40</v>
      </c>
      <c r="F27" s="57">
        <v>658000.0</v>
      </c>
      <c r="G27" s="56" t="s">
        <v>20</v>
      </c>
    </row>
    <row r="28">
      <c r="B28" s="8" t="b">
        <v>0</v>
      </c>
      <c r="C28" s="55">
        <v>46034.0</v>
      </c>
      <c r="D28" s="56" t="s">
        <v>57</v>
      </c>
      <c r="E28" s="56" t="s">
        <v>34</v>
      </c>
      <c r="F28" s="57">
        <v>37150.0</v>
      </c>
      <c r="G28" s="56" t="s">
        <v>20</v>
      </c>
    </row>
    <row r="29">
      <c r="B29" s="8" t="b">
        <v>0</v>
      </c>
      <c r="C29" s="55">
        <v>46034.0</v>
      </c>
      <c r="D29" s="56" t="s">
        <v>58</v>
      </c>
      <c r="E29" s="56" t="s">
        <v>34</v>
      </c>
      <c r="F29" s="57">
        <v>22400.0</v>
      </c>
      <c r="G29" s="56" t="s">
        <v>20</v>
      </c>
    </row>
    <row r="30">
      <c r="B30" s="8" t="b">
        <v>0</v>
      </c>
      <c r="C30" s="55">
        <v>46034.0</v>
      </c>
      <c r="D30" s="56" t="s">
        <v>39</v>
      </c>
      <c r="E30" s="56" t="s">
        <v>40</v>
      </c>
      <c r="F30" s="57">
        <v>43600.0</v>
      </c>
      <c r="G30" s="56" t="s">
        <v>20</v>
      </c>
    </row>
    <row r="31">
      <c r="B31" s="8" t="b">
        <v>0</v>
      </c>
      <c r="C31" s="55">
        <v>46035.0</v>
      </c>
      <c r="D31" s="56" t="s">
        <v>39</v>
      </c>
      <c r="E31" s="56" t="s">
        <v>40</v>
      </c>
      <c r="F31" s="57">
        <v>44900.0</v>
      </c>
      <c r="G31" s="56" t="s">
        <v>20</v>
      </c>
    </row>
    <row r="32">
      <c r="B32" s="8" t="b">
        <v>0</v>
      </c>
      <c r="C32" s="55">
        <v>46035.0</v>
      </c>
      <c r="D32" s="56" t="s">
        <v>59</v>
      </c>
      <c r="E32" s="56" t="s">
        <v>34</v>
      </c>
      <c r="F32" s="57">
        <v>135925.0</v>
      </c>
      <c r="G32" s="56" t="s">
        <v>20</v>
      </c>
    </row>
    <row r="33">
      <c r="B33" s="8" t="b">
        <v>0</v>
      </c>
      <c r="C33" s="55">
        <v>46037.0</v>
      </c>
      <c r="D33" s="56" t="s">
        <v>60</v>
      </c>
      <c r="E33" s="56" t="s">
        <v>34</v>
      </c>
      <c r="F33" s="57">
        <v>20000.0</v>
      </c>
      <c r="G33" s="56" t="s">
        <v>20</v>
      </c>
    </row>
    <row r="34">
      <c r="B34" s="8" t="b">
        <v>0</v>
      </c>
      <c r="C34" s="55">
        <v>46038.0</v>
      </c>
      <c r="D34" s="56" t="s">
        <v>61</v>
      </c>
      <c r="E34" s="56" t="s">
        <v>34</v>
      </c>
      <c r="F34" s="57">
        <v>22000.0</v>
      </c>
      <c r="G34" s="56" t="s">
        <v>20</v>
      </c>
    </row>
    <row r="35">
      <c r="B35" s="8" t="b">
        <v>0</v>
      </c>
      <c r="C35" s="55">
        <v>46038.0</v>
      </c>
      <c r="D35" s="59" t="s">
        <v>62</v>
      </c>
      <c r="E35" s="56" t="s">
        <v>34</v>
      </c>
      <c r="F35" s="57">
        <v>87000.0</v>
      </c>
      <c r="G35" s="56" t="s">
        <v>20</v>
      </c>
    </row>
    <row r="36">
      <c r="B36" s="8" t="b">
        <v>0</v>
      </c>
      <c r="C36" s="55">
        <v>46040.0</v>
      </c>
      <c r="D36" s="56" t="s">
        <v>63</v>
      </c>
      <c r="E36" s="56" t="s">
        <v>34</v>
      </c>
      <c r="F36" s="57">
        <v>129714.0</v>
      </c>
      <c r="G36" s="56" t="s">
        <v>20</v>
      </c>
    </row>
    <row r="37">
      <c r="B37" s="8" t="b">
        <v>0</v>
      </c>
      <c r="C37" s="55">
        <v>46041.0</v>
      </c>
      <c r="D37" s="56" t="s">
        <v>64</v>
      </c>
      <c r="E37" s="56" t="s">
        <v>34</v>
      </c>
      <c r="F37" s="57">
        <v>50683.0</v>
      </c>
      <c r="G37" s="56" t="s">
        <v>20</v>
      </c>
    </row>
    <row r="38">
      <c r="B38" s="8" t="b">
        <v>0</v>
      </c>
      <c r="C38" s="55">
        <v>46041.0</v>
      </c>
      <c r="D38" s="56" t="s">
        <v>65</v>
      </c>
      <c r="E38" s="56" t="s">
        <v>65</v>
      </c>
      <c r="F38" s="57">
        <v>1500000.0</v>
      </c>
      <c r="G38" s="56" t="s">
        <v>20</v>
      </c>
    </row>
    <row r="39">
      <c r="B39" s="8" t="b">
        <v>0</v>
      </c>
      <c r="C39" s="55">
        <v>46041.0</v>
      </c>
      <c r="D39" s="56" t="s">
        <v>66</v>
      </c>
      <c r="E39" s="56" t="s">
        <v>34</v>
      </c>
      <c r="F39" s="57">
        <v>16499.0</v>
      </c>
      <c r="G39" s="56" t="s">
        <v>20</v>
      </c>
    </row>
    <row r="40">
      <c r="B40" s="8" t="b">
        <v>0</v>
      </c>
      <c r="C40" s="55">
        <v>46041.0</v>
      </c>
      <c r="D40" s="56" t="s">
        <v>67</v>
      </c>
      <c r="E40" s="56" t="s">
        <v>34</v>
      </c>
      <c r="F40" s="57">
        <v>59000.0</v>
      </c>
      <c r="G40" s="56" t="s">
        <v>20</v>
      </c>
    </row>
    <row r="41">
      <c r="B41" s="8" t="b">
        <v>0</v>
      </c>
      <c r="C41" s="55">
        <v>46041.0</v>
      </c>
      <c r="D41" s="56" t="s">
        <v>66</v>
      </c>
      <c r="E41" s="56" t="s">
        <v>34</v>
      </c>
      <c r="F41" s="57">
        <v>11000.0</v>
      </c>
      <c r="G41" s="56" t="s">
        <v>20</v>
      </c>
    </row>
    <row r="42">
      <c r="B42" s="8" t="b">
        <v>0</v>
      </c>
      <c r="C42" s="55">
        <v>46042.0</v>
      </c>
      <c r="D42" s="56" t="s">
        <v>68</v>
      </c>
      <c r="E42" s="56" t="s">
        <v>34</v>
      </c>
      <c r="F42" s="57">
        <v>245000.0</v>
      </c>
      <c r="G42" s="56" t="s">
        <v>20</v>
      </c>
    </row>
    <row r="43">
      <c r="B43" s="8" t="b">
        <v>0</v>
      </c>
      <c r="C43" s="55">
        <v>46042.0</v>
      </c>
      <c r="D43" s="56" t="s">
        <v>56</v>
      </c>
      <c r="E43" s="56" t="s">
        <v>40</v>
      </c>
      <c r="F43" s="57">
        <v>118000.0</v>
      </c>
      <c r="G43" s="56" t="s">
        <v>20</v>
      </c>
    </row>
    <row r="44">
      <c r="B44" s="8" t="b">
        <v>0</v>
      </c>
      <c r="C44" s="55">
        <v>46042.0</v>
      </c>
      <c r="D44" s="56" t="s">
        <v>56</v>
      </c>
      <c r="E44" s="56" t="s">
        <v>40</v>
      </c>
      <c r="F44" s="57">
        <v>31000.0</v>
      </c>
      <c r="G44" s="56" t="s">
        <v>20</v>
      </c>
    </row>
    <row r="45">
      <c r="B45" s="8" t="b">
        <v>0</v>
      </c>
      <c r="C45" s="55">
        <v>46043.0</v>
      </c>
      <c r="D45" s="56" t="s">
        <v>56</v>
      </c>
      <c r="E45" s="56" t="s">
        <v>40</v>
      </c>
      <c r="F45" s="57">
        <v>53000.0</v>
      </c>
      <c r="G45" s="56" t="s">
        <v>20</v>
      </c>
    </row>
    <row r="46">
      <c r="B46" s="8" t="b">
        <v>0</v>
      </c>
      <c r="C46" s="55">
        <v>46044.0</v>
      </c>
      <c r="D46" s="56" t="s">
        <v>43</v>
      </c>
      <c r="E46" s="56" t="s">
        <v>34</v>
      </c>
      <c r="F46" s="57">
        <v>30000.0</v>
      </c>
      <c r="G46" s="56" t="s">
        <v>20</v>
      </c>
    </row>
    <row r="47">
      <c r="B47" s="8" t="b">
        <v>0</v>
      </c>
      <c r="C47" s="55">
        <v>46054.0</v>
      </c>
      <c r="D47" s="56" t="s">
        <v>69</v>
      </c>
      <c r="E47" s="56" t="s">
        <v>34</v>
      </c>
      <c r="F47" s="57">
        <v>325.0</v>
      </c>
      <c r="G47" s="56" t="s">
        <v>20</v>
      </c>
    </row>
    <row r="48">
      <c r="B48" s="8" t="b">
        <v>0</v>
      </c>
      <c r="C48" s="55">
        <v>46054.0</v>
      </c>
      <c r="D48" s="56" t="s">
        <v>33</v>
      </c>
      <c r="E48" s="56" t="s">
        <v>34</v>
      </c>
      <c r="F48" s="57">
        <v>152500.0</v>
      </c>
      <c r="G48" s="56" t="s">
        <v>20</v>
      </c>
    </row>
    <row r="49">
      <c r="B49" s="8" t="b">
        <v>0</v>
      </c>
      <c r="C49" s="55">
        <v>46054.0</v>
      </c>
      <c r="D49" s="56" t="s">
        <v>32</v>
      </c>
      <c r="E49" s="56" t="s">
        <v>32</v>
      </c>
      <c r="F49" s="57">
        <v>1100000.0</v>
      </c>
      <c r="G49" s="56" t="s">
        <v>20</v>
      </c>
    </row>
    <row r="50">
      <c r="B50" s="8" t="b">
        <v>0</v>
      </c>
      <c r="C50" s="55">
        <v>46054.0</v>
      </c>
      <c r="D50" s="56" t="s">
        <v>56</v>
      </c>
      <c r="E50" s="56" t="s">
        <v>40</v>
      </c>
      <c r="F50" s="57">
        <v>1000000.0</v>
      </c>
      <c r="G50" s="56" t="s">
        <v>20</v>
      </c>
    </row>
    <row r="51">
      <c r="B51" s="8" t="b">
        <v>0</v>
      </c>
      <c r="C51" s="55">
        <v>46054.0</v>
      </c>
      <c r="D51" s="56" t="s">
        <v>70</v>
      </c>
      <c r="E51" s="56" t="s">
        <v>34</v>
      </c>
      <c r="F51" s="57">
        <v>82650.0</v>
      </c>
      <c r="G51" s="56" t="s">
        <v>20</v>
      </c>
    </row>
    <row r="52">
      <c r="B52" s="8" t="b">
        <v>0</v>
      </c>
      <c r="C52" s="55">
        <v>46054.0</v>
      </c>
      <c r="D52" s="56" t="s">
        <v>65</v>
      </c>
      <c r="E52" s="56" t="s">
        <v>65</v>
      </c>
      <c r="F52" s="57">
        <v>1500000.0</v>
      </c>
      <c r="G52" s="56" t="s">
        <v>20</v>
      </c>
    </row>
    <row r="53">
      <c r="B53" s="8" t="b">
        <v>0</v>
      </c>
      <c r="C53" s="55">
        <v>46054.0</v>
      </c>
      <c r="D53" s="56" t="s">
        <v>70</v>
      </c>
      <c r="E53" s="56" t="s">
        <v>34</v>
      </c>
      <c r="F53" s="57">
        <v>369000.0</v>
      </c>
      <c r="G53" s="56" t="s">
        <v>20</v>
      </c>
    </row>
    <row r="54">
      <c r="B54" s="8" t="b">
        <v>0</v>
      </c>
      <c r="C54" s="55">
        <v>46054.0</v>
      </c>
      <c r="D54" s="56" t="s">
        <v>56</v>
      </c>
      <c r="E54" s="56" t="s">
        <v>40</v>
      </c>
      <c r="F54" s="57">
        <v>108458.0</v>
      </c>
      <c r="G54" s="56" t="s">
        <v>20</v>
      </c>
    </row>
    <row r="55">
      <c r="B55" s="8" t="b">
        <v>0</v>
      </c>
      <c r="C55" s="55">
        <v>46054.0</v>
      </c>
      <c r="D55" s="56" t="s">
        <v>71</v>
      </c>
      <c r="E55" s="56" t="s">
        <v>40</v>
      </c>
      <c r="F55" s="57">
        <v>32000.0</v>
      </c>
      <c r="G55" s="56" t="s">
        <v>20</v>
      </c>
    </row>
    <row r="56">
      <c r="B56" s="8" t="b">
        <v>0</v>
      </c>
      <c r="C56" s="55">
        <v>46054.0</v>
      </c>
      <c r="D56" s="56" t="s">
        <v>72</v>
      </c>
      <c r="E56" s="56" t="s">
        <v>52</v>
      </c>
      <c r="F56" s="57">
        <v>200000.0</v>
      </c>
      <c r="G56" s="56" t="s">
        <v>20</v>
      </c>
    </row>
    <row r="57">
      <c r="B57" s="8" t="b">
        <v>0</v>
      </c>
      <c r="C57" s="55">
        <v>46054.0</v>
      </c>
      <c r="D57" s="56" t="s">
        <v>72</v>
      </c>
      <c r="E57" s="56" t="s">
        <v>34</v>
      </c>
      <c r="F57" s="57">
        <v>23985.0</v>
      </c>
      <c r="G57" s="56" t="s">
        <v>20</v>
      </c>
    </row>
    <row r="58">
      <c r="B58" s="8" t="b">
        <v>0</v>
      </c>
      <c r="C58" s="55">
        <v>46054.0</v>
      </c>
      <c r="D58" s="56" t="s">
        <v>66</v>
      </c>
      <c r="E58" s="56" t="s">
        <v>34</v>
      </c>
      <c r="F58" s="57">
        <v>11000.0</v>
      </c>
      <c r="G58" s="56" t="s">
        <v>20</v>
      </c>
    </row>
    <row r="59">
      <c r="B59" s="8" t="b">
        <v>0</v>
      </c>
      <c r="C59" s="55">
        <v>46054.0</v>
      </c>
      <c r="D59" s="56" t="s">
        <v>73</v>
      </c>
      <c r="E59" s="56" t="s">
        <v>34</v>
      </c>
      <c r="F59" s="57">
        <v>54000.0</v>
      </c>
      <c r="G59" s="56" t="s">
        <v>20</v>
      </c>
    </row>
    <row r="60">
      <c r="B60" s="8" t="b">
        <v>0</v>
      </c>
      <c r="C60" s="55">
        <v>46054.0</v>
      </c>
      <c r="D60" s="56" t="s">
        <v>74</v>
      </c>
      <c r="E60" s="56" t="s">
        <v>34</v>
      </c>
      <c r="F60" s="57">
        <v>203170.0</v>
      </c>
      <c r="G60" s="56" t="s">
        <v>20</v>
      </c>
    </row>
    <row r="61">
      <c r="B61" s="8" t="b">
        <v>0</v>
      </c>
      <c r="C61" s="55">
        <v>46054.0</v>
      </c>
      <c r="D61" s="56" t="s">
        <v>75</v>
      </c>
      <c r="E61" s="56" t="s">
        <v>34</v>
      </c>
      <c r="F61" s="57">
        <v>30337.0</v>
      </c>
      <c r="G61" s="56" t="s">
        <v>20</v>
      </c>
    </row>
    <row r="62">
      <c r="B62" s="8" t="b">
        <v>0</v>
      </c>
      <c r="C62" s="55">
        <v>46054.0</v>
      </c>
      <c r="D62" s="56" t="s">
        <v>76</v>
      </c>
      <c r="E62" s="56" t="s">
        <v>34</v>
      </c>
      <c r="F62" s="57">
        <v>100992.0</v>
      </c>
      <c r="G62" s="56" t="s">
        <v>20</v>
      </c>
    </row>
    <row r="63">
      <c r="B63" s="8" t="b">
        <v>0</v>
      </c>
      <c r="C63" s="55">
        <v>46062.0</v>
      </c>
      <c r="D63" s="56" t="s">
        <v>43</v>
      </c>
      <c r="E63" s="56" t="s">
        <v>34</v>
      </c>
      <c r="F63" s="57">
        <v>40000.0</v>
      </c>
      <c r="G63" s="56" t="s">
        <v>20</v>
      </c>
    </row>
    <row r="64">
      <c r="B64" s="8" t="b">
        <v>0</v>
      </c>
      <c r="C64" s="55">
        <v>46063.0</v>
      </c>
      <c r="D64" s="56" t="s">
        <v>77</v>
      </c>
      <c r="E64" s="56" t="s">
        <v>34</v>
      </c>
      <c r="F64" s="57">
        <v>16000.0</v>
      </c>
      <c r="G64" s="56" t="s">
        <v>20</v>
      </c>
    </row>
    <row r="65">
      <c r="B65" s="8" t="b">
        <v>0</v>
      </c>
      <c r="C65" s="55">
        <v>46063.0</v>
      </c>
      <c r="D65" s="56" t="s">
        <v>78</v>
      </c>
      <c r="E65" s="56" t="s">
        <v>40</v>
      </c>
      <c r="F65" s="57">
        <v>32000.0</v>
      </c>
      <c r="G65" s="56" t="s">
        <v>20</v>
      </c>
    </row>
    <row r="66">
      <c r="B66" s="8" t="b">
        <v>0</v>
      </c>
      <c r="C66" s="55">
        <v>46063.0</v>
      </c>
      <c r="D66" s="56" t="s">
        <v>79</v>
      </c>
      <c r="E66" s="56" t="s">
        <v>40</v>
      </c>
      <c r="F66" s="57">
        <v>16000.0</v>
      </c>
      <c r="G66" s="56" t="s">
        <v>20</v>
      </c>
    </row>
    <row r="67">
      <c r="B67" s="8" t="b">
        <v>0</v>
      </c>
      <c r="C67" s="55">
        <v>46065.0</v>
      </c>
      <c r="D67" s="56" t="s">
        <v>80</v>
      </c>
      <c r="E67" s="56" t="s">
        <v>40</v>
      </c>
      <c r="F67" s="57">
        <v>8330.0</v>
      </c>
      <c r="G67" s="56" t="s">
        <v>20</v>
      </c>
    </row>
    <row r="68">
      <c r="B68" s="8" t="b">
        <v>0</v>
      </c>
      <c r="C68" s="55">
        <v>46066.0</v>
      </c>
      <c r="D68" s="56" t="s">
        <v>81</v>
      </c>
      <c r="E68" s="56" t="s">
        <v>34</v>
      </c>
      <c r="F68" s="57">
        <v>23300.0</v>
      </c>
      <c r="G68" s="56" t="s">
        <v>20</v>
      </c>
    </row>
    <row r="69">
      <c r="B69" s="8" t="b">
        <v>0</v>
      </c>
      <c r="C69" s="55">
        <v>46067.0</v>
      </c>
      <c r="D69" s="56" t="s">
        <v>82</v>
      </c>
      <c r="E69" s="56" t="s">
        <v>34</v>
      </c>
      <c r="F69" s="57">
        <v>7500.0</v>
      </c>
      <c r="G69" s="56" t="s">
        <v>20</v>
      </c>
    </row>
    <row r="70">
      <c r="B70" s="8" t="b">
        <v>0</v>
      </c>
      <c r="C70" s="55">
        <v>46069.0</v>
      </c>
      <c r="D70" s="56" t="s">
        <v>33</v>
      </c>
      <c r="E70" s="56" t="s">
        <v>34</v>
      </c>
      <c r="F70" s="57">
        <v>5000.0</v>
      </c>
      <c r="G70" s="56" t="s">
        <v>20</v>
      </c>
    </row>
    <row r="71">
      <c r="B71" s="8" t="b">
        <v>0</v>
      </c>
      <c r="C71" s="55"/>
      <c r="D71" s="56"/>
      <c r="E71" s="56"/>
      <c r="F71" s="57"/>
      <c r="G71" s="56"/>
    </row>
    <row r="72">
      <c r="B72" s="8" t="b">
        <v>0</v>
      </c>
      <c r="C72" s="55"/>
      <c r="D72" s="56"/>
      <c r="E72" s="56"/>
      <c r="F72" s="57"/>
      <c r="G72" s="56"/>
    </row>
    <row r="73">
      <c r="B73" s="8" t="b">
        <v>0</v>
      </c>
      <c r="C73" s="55"/>
      <c r="D73" s="56"/>
      <c r="E73" s="56"/>
      <c r="F73" s="57"/>
      <c r="G73" s="56"/>
    </row>
    <row r="74">
      <c r="B74" s="8" t="b">
        <v>0</v>
      </c>
      <c r="C74" s="55"/>
      <c r="D74" s="56"/>
      <c r="E74" s="56"/>
      <c r="F74" s="57"/>
      <c r="G74" s="56"/>
    </row>
    <row r="75">
      <c r="B75" s="8" t="b">
        <v>0</v>
      </c>
      <c r="C75" s="55"/>
      <c r="D75" s="56"/>
      <c r="E75" s="56"/>
      <c r="F75" s="57"/>
      <c r="G75" s="56"/>
    </row>
    <row r="76">
      <c r="B76" s="8" t="b">
        <v>0</v>
      </c>
      <c r="C76" s="55"/>
      <c r="D76" s="56"/>
      <c r="E76" s="56"/>
      <c r="F76" s="57"/>
      <c r="G76" s="56"/>
    </row>
    <row r="77">
      <c r="B77" s="8" t="b">
        <v>0</v>
      </c>
      <c r="C77" s="55"/>
      <c r="D77" s="56"/>
      <c r="E77" s="56"/>
      <c r="F77" s="57"/>
      <c r="G77" s="56"/>
    </row>
    <row r="78">
      <c r="B78" s="8" t="b">
        <v>0</v>
      </c>
      <c r="C78" s="55"/>
      <c r="D78" s="56"/>
      <c r="E78" s="56"/>
      <c r="F78" s="57"/>
      <c r="G78" s="56"/>
    </row>
    <row r="79">
      <c r="B79" s="8" t="b">
        <v>0</v>
      </c>
      <c r="C79" s="55"/>
      <c r="D79" s="56"/>
      <c r="E79" s="56"/>
      <c r="F79" s="57"/>
      <c r="G79" s="56"/>
    </row>
    <row r="80">
      <c r="B80" s="8" t="b">
        <v>0</v>
      </c>
      <c r="C80" s="55"/>
      <c r="D80" s="56"/>
      <c r="E80" s="56"/>
      <c r="F80" s="57"/>
      <c r="G80" s="56"/>
    </row>
    <row r="81">
      <c r="B81" s="8" t="b">
        <v>0</v>
      </c>
      <c r="C81" s="55"/>
      <c r="D81" s="56"/>
      <c r="E81" s="56"/>
      <c r="F81" s="57"/>
      <c r="G81" s="56"/>
    </row>
    <row r="82">
      <c r="B82" s="8" t="b">
        <v>0</v>
      </c>
      <c r="C82" s="55"/>
      <c r="D82" s="56"/>
      <c r="E82" s="56"/>
      <c r="F82" s="57"/>
      <c r="G82" s="56"/>
    </row>
    <row r="83">
      <c r="B83" s="8" t="b">
        <v>0</v>
      </c>
      <c r="C83" s="55"/>
      <c r="D83" s="56"/>
      <c r="E83" s="56"/>
      <c r="F83" s="57"/>
      <c r="G83" s="56"/>
    </row>
    <row r="84">
      <c r="B84" s="8" t="b">
        <v>0</v>
      </c>
      <c r="C84" s="55"/>
      <c r="D84" s="56"/>
      <c r="E84" s="56"/>
      <c r="F84" s="57"/>
      <c r="G84" s="56"/>
    </row>
    <row r="85">
      <c r="B85" s="8" t="b">
        <v>0</v>
      </c>
      <c r="C85" s="55"/>
      <c r="D85" s="56"/>
      <c r="E85" s="56"/>
      <c r="F85" s="57"/>
      <c r="G85" s="56"/>
    </row>
    <row r="86">
      <c r="B86" s="8" t="b">
        <v>0</v>
      </c>
      <c r="C86" s="55"/>
      <c r="D86" s="56"/>
      <c r="E86" s="56"/>
      <c r="F86" s="57"/>
      <c r="G86" s="56"/>
    </row>
    <row r="87">
      <c r="B87" s="8" t="b">
        <v>0</v>
      </c>
      <c r="C87" s="55"/>
      <c r="D87" s="56"/>
      <c r="E87" s="56"/>
      <c r="F87" s="57"/>
      <c r="G87" s="56"/>
    </row>
    <row r="88">
      <c r="B88" s="8" t="b">
        <v>0</v>
      </c>
      <c r="C88" s="55"/>
      <c r="D88" s="56"/>
      <c r="E88" s="56"/>
      <c r="F88" s="57"/>
      <c r="G88" s="56"/>
    </row>
    <row r="89">
      <c r="B89" s="8" t="b">
        <v>0</v>
      </c>
      <c r="C89" s="55"/>
      <c r="D89" s="56"/>
      <c r="E89" s="56"/>
      <c r="F89" s="57"/>
      <c r="G89" s="56"/>
    </row>
    <row r="90">
      <c r="B90" s="8" t="b">
        <v>0</v>
      </c>
      <c r="C90" s="55"/>
      <c r="D90" s="56"/>
      <c r="E90" s="56"/>
      <c r="F90" s="57"/>
      <c r="G90" s="56"/>
    </row>
    <row r="91">
      <c r="B91" s="8" t="b">
        <v>0</v>
      </c>
      <c r="C91" s="55"/>
      <c r="D91" s="56"/>
      <c r="E91" s="56"/>
      <c r="F91" s="57"/>
      <c r="G91" s="56"/>
    </row>
    <row r="92">
      <c r="B92" s="8" t="b">
        <v>0</v>
      </c>
      <c r="C92" s="55"/>
      <c r="D92" s="56"/>
      <c r="E92" s="56"/>
      <c r="F92" s="57"/>
      <c r="G92" s="56"/>
    </row>
    <row r="93">
      <c r="B93" s="8" t="b">
        <v>0</v>
      </c>
      <c r="C93" s="55"/>
      <c r="D93" s="56"/>
      <c r="E93" s="56"/>
      <c r="F93" s="57"/>
      <c r="G93" s="56"/>
    </row>
    <row r="94">
      <c r="B94" s="8" t="b">
        <v>0</v>
      </c>
      <c r="C94" s="55"/>
      <c r="D94" s="56"/>
      <c r="E94" s="56"/>
      <c r="F94" s="57"/>
      <c r="G94" s="56"/>
    </row>
    <row r="95">
      <c r="B95" s="8" t="b">
        <v>0</v>
      </c>
      <c r="C95" s="55"/>
      <c r="D95" s="56"/>
      <c r="E95" s="56"/>
      <c r="F95" s="57"/>
      <c r="G95" s="56"/>
    </row>
    <row r="96">
      <c r="B96" s="8" t="b">
        <v>0</v>
      </c>
      <c r="C96" s="55"/>
      <c r="D96" s="56"/>
      <c r="E96" s="56"/>
      <c r="F96" s="57"/>
      <c r="G96" s="56"/>
    </row>
    <row r="97">
      <c r="B97" s="8" t="b">
        <v>0</v>
      </c>
      <c r="C97" s="55"/>
      <c r="D97" s="56"/>
      <c r="E97" s="56"/>
      <c r="F97" s="57"/>
      <c r="G97" s="56"/>
    </row>
    <row r="98">
      <c r="B98" s="8" t="b">
        <v>0</v>
      </c>
      <c r="C98" s="55"/>
      <c r="D98" s="56"/>
      <c r="E98" s="56"/>
      <c r="F98" s="57"/>
      <c r="G98" s="56"/>
    </row>
    <row r="99">
      <c r="B99" s="8" t="b">
        <v>0</v>
      </c>
      <c r="C99" s="55"/>
      <c r="D99" s="56"/>
      <c r="E99" s="56"/>
      <c r="F99" s="57"/>
      <c r="G99" s="56"/>
    </row>
    <row r="100">
      <c r="B100" s="8" t="b">
        <v>0</v>
      </c>
      <c r="C100" s="55"/>
      <c r="D100" s="56"/>
      <c r="E100" s="56"/>
      <c r="F100" s="57"/>
      <c r="G100" s="56"/>
    </row>
    <row r="101">
      <c r="B101" s="8" t="b">
        <v>0</v>
      </c>
      <c r="C101" s="55"/>
      <c r="D101" s="56"/>
      <c r="E101" s="56"/>
      <c r="F101" s="57"/>
      <c r="G101" s="56"/>
    </row>
    <row r="102">
      <c r="B102" s="8" t="b">
        <v>0</v>
      </c>
      <c r="C102" s="55"/>
      <c r="D102" s="56"/>
      <c r="E102" s="56"/>
      <c r="F102" s="57"/>
      <c r="G102" s="56"/>
    </row>
    <row r="103">
      <c r="B103" s="8" t="b">
        <v>0</v>
      </c>
      <c r="C103" s="55"/>
      <c r="D103" s="56"/>
      <c r="E103" s="56"/>
      <c r="F103" s="57"/>
      <c r="G103" s="56"/>
    </row>
    <row r="104">
      <c r="B104" s="8" t="b">
        <v>0</v>
      </c>
      <c r="C104" s="55"/>
      <c r="D104" s="56"/>
      <c r="E104" s="56"/>
      <c r="F104" s="57"/>
      <c r="G104" s="56"/>
    </row>
    <row r="105">
      <c r="B105" s="8" t="b">
        <v>0</v>
      </c>
      <c r="C105" s="55"/>
      <c r="D105" s="56"/>
      <c r="E105" s="56"/>
      <c r="F105" s="57"/>
      <c r="G105" s="56"/>
    </row>
    <row r="106">
      <c r="B106" s="8" t="b">
        <v>0</v>
      </c>
      <c r="C106" s="55"/>
      <c r="D106" s="56"/>
      <c r="E106" s="56"/>
      <c r="F106" s="57"/>
      <c r="G106" s="56"/>
    </row>
    <row r="107">
      <c r="B107" s="8" t="b">
        <v>0</v>
      </c>
      <c r="C107" s="55"/>
      <c r="D107" s="56"/>
      <c r="E107" s="56"/>
      <c r="F107" s="57"/>
      <c r="G107" s="56"/>
    </row>
    <row r="108">
      <c r="B108" s="8" t="b">
        <v>0</v>
      </c>
      <c r="C108" s="55"/>
      <c r="D108" s="56"/>
      <c r="E108" s="56"/>
      <c r="F108" s="57"/>
      <c r="G108" s="56"/>
    </row>
    <row r="109">
      <c r="B109" s="8" t="b">
        <v>0</v>
      </c>
      <c r="C109" s="55"/>
      <c r="D109" s="56"/>
      <c r="E109" s="56"/>
      <c r="F109" s="57"/>
      <c r="G109" s="56"/>
    </row>
    <row r="110">
      <c r="B110" s="8" t="b">
        <v>0</v>
      </c>
      <c r="C110" s="55"/>
      <c r="D110" s="56"/>
      <c r="E110" s="56"/>
      <c r="F110" s="57"/>
      <c r="G110" s="56"/>
    </row>
    <row r="111">
      <c r="B111" s="8" t="b">
        <v>0</v>
      </c>
      <c r="C111" s="55"/>
      <c r="D111" s="56"/>
      <c r="E111" s="56"/>
      <c r="F111" s="57"/>
      <c r="G111" s="56"/>
    </row>
    <row r="112">
      <c r="B112" s="8" t="b">
        <v>0</v>
      </c>
      <c r="C112" s="55"/>
      <c r="D112" s="56"/>
      <c r="E112" s="56"/>
      <c r="F112" s="57"/>
      <c r="G112" s="56"/>
    </row>
    <row r="113">
      <c r="B113" s="8" t="b">
        <v>0</v>
      </c>
      <c r="C113" s="55"/>
      <c r="D113" s="56"/>
      <c r="E113" s="56"/>
      <c r="F113" s="57"/>
      <c r="G113" s="56"/>
    </row>
    <row r="114">
      <c r="B114" s="8" t="b">
        <v>0</v>
      </c>
      <c r="C114" s="55"/>
      <c r="D114" s="56"/>
      <c r="E114" s="56"/>
      <c r="F114" s="57"/>
      <c r="G114" s="56"/>
    </row>
    <row r="115">
      <c r="B115" s="8" t="b">
        <v>0</v>
      </c>
      <c r="C115" s="55"/>
      <c r="D115" s="56"/>
      <c r="E115" s="56"/>
      <c r="F115" s="57"/>
      <c r="G115" s="56"/>
    </row>
    <row r="116">
      <c r="B116" s="8" t="b">
        <v>0</v>
      </c>
      <c r="C116" s="55"/>
      <c r="D116" s="56"/>
      <c r="E116" s="56"/>
      <c r="F116" s="57"/>
      <c r="G116" s="56"/>
    </row>
    <row r="117">
      <c r="B117" s="8" t="b">
        <v>0</v>
      </c>
      <c r="C117" s="55"/>
      <c r="D117" s="56"/>
      <c r="E117" s="56"/>
      <c r="F117" s="57"/>
      <c r="G117" s="56"/>
    </row>
    <row r="118">
      <c r="B118" s="8" t="b">
        <v>0</v>
      </c>
      <c r="C118" s="55"/>
      <c r="D118" s="56"/>
      <c r="E118" s="56"/>
      <c r="F118" s="57"/>
      <c r="G118" s="56"/>
    </row>
    <row r="119">
      <c r="B119" s="8" t="b">
        <v>0</v>
      </c>
      <c r="C119" s="55"/>
      <c r="D119" s="56"/>
      <c r="E119" s="56"/>
      <c r="F119" s="57"/>
      <c r="G119" s="56"/>
    </row>
    <row r="120">
      <c r="B120" s="8" t="b">
        <v>0</v>
      </c>
      <c r="C120" s="55"/>
      <c r="D120" s="56"/>
      <c r="E120" s="56"/>
      <c r="F120" s="57"/>
      <c r="G120" s="56"/>
    </row>
    <row r="121">
      <c r="B121" s="8" t="b">
        <v>0</v>
      </c>
      <c r="C121" s="55"/>
      <c r="D121" s="56"/>
      <c r="E121" s="56"/>
      <c r="F121" s="57"/>
      <c r="G121" s="56"/>
    </row>
    <row r="122">
      <c r="B122" s="8" t="b">
        <v>0</v>
      </c>
      <c r="C122" s="55"/>
      <c r="D122" s="56"/>
      <c r="E122" s="56"/>
      <c r="F122" s="57"/>
      <c r="G122" s="56"/>
    </row>
    <row r="123">
      <c r="B123" s="8" t="b">
        <v>0</v>
      </c>
      <c r="C123" s="55"/>
      <c r="D123" s="56"/>
      <c r="E123" s="56"/>
      <c r="F123" s="57"/>
      <c r="G123" s="56"/>
    </row>
    <row r="124">
      <c r="B124" s="8" t="b">
        <v>0</v>
      </c>
      <c r="C124" s="55"/>
      <c r="D124" s="56"/>
      <c r="E124" s="56"/>
      <c r="F124" s="57"/>
      <c r="G124" s="56"/>
    </row>
    <row r="125">
      <c r="B125" s="8" t="b">
        <v>0</v>
      </c>
      <c r="C125" s="55"/>
      <c r="D125" s="56"/>
      <c r="E125" s="56"/>
      <c r="F125" s="57"/>
      <c r="G125" s="56"/>
    </row>
    <row r="126">
      <c r="B126" s="8" t="b">
        <v>0</v>
      </c>
      <c r="C126" s="55"/>
      <c r="D126" s="56"/>
      <c r="E126" s="56"/>
      <c r="F126" s="57"/>
      <c r="G126" s="56"/>
    </row>
    <row r="127">
      <c r="B127" s="8" t="b">
        <v>0</v>
      </c>
      <c r="C127" s="55"/>
      <c r="D127" s="56"/>
      <c r="E127" s="56"/>
      <c r="F127" s="57"/>
      <c r="G127" s="56"/>
    </row>
    <row r="128">
      <c r="B128" s="8" t="b">
        <v>0</v>
      </c>
      <c r="C128" s="55"/>
      <c r="D128" s="56"/>
      <c r="E128" s="56"/>
      <c r="F128" s="57"/>
      <c r="G128" s="56"/>
    </row>
    <row r="129">
      <c r="B129" s="8" t="b">
        <v>0</v>
      </c>
      <c r="C129" s="55"/>
      <c r="D129" s="56"/>
      <c r="E129" s="56"/>
      <c r="F129" s="57"/>
      <c r="G129" s="56"/>
    </row>
    <row r="130">
      <c r="B130" s="8" t="b">
        <v>0</v>
      </c>
      <c r="C130" s="55"/>
      <c r="D130" s="56"/>
      <c r="E130" s="56"/>
      <c r="F130" s="57"/>
      <c r="G130" s="56"/>
    </row>
    <row r="131">
      <c r="B131" s="8" t="b">
        <v>0</v>
      </c>
      <c r="C131" s="55"/>
      <c r="D131" s="56"/>
      <c r="E131" s="56"/>
      <c r="F131" s="57"/>
      <c r="G131" s="56"/>
    </row>
    <row r="132">
      <c r="B132" s="8" t="b">
        <v>0</v>
      </c>
      <c r="C132" s="55"/>
      <c r="D132" s="56"/>
      <c r="E132" s="56"/>
      <c r="F132" s="57"/>
      <c r="G132" s="56"/>
    </row>
    <row r="133">
      <c r="B133" s="8" t="b">
        <v>0</v>
      </c>
      <c r="C133" s="55"/>
      <c r="D133" s="56"/>
      <c r="E133" s="56"/>
      <c r="F133" s="57"/>
      <c r="G133" s="56"/>
    </row>
    <row r="134">
      <c r="B134" s="8" t="b">
        <v>0</v>
      </c>
      <c r="C134" s="55"/>
      <c r="D134" s="56"/>
      <c r="E134" s="56"/>
      <c r="F134" s="57"/>
      <c r="G134" s="56"/>
    </row>
    <row r="135">
      <c r="B135" s="8" t="b">
        <v>0</v>
      </c>
      <c r="C135" s="55"/>
      <c r="D135" s="56"/>
      <c r="E135" s="56"/>
      <c r="F135" s="57"/>
      <c r="G135" s="56"/>
    </row>
    <row r="136">
      <c r="B136" s="8" t="b">
        <v>0</v>
      </c>
      <c r="C136" s="55"/>
      <c r="D136" s="56"/>
      <c r="E136" s="56"/>
      <c r="F136" s="57"/>
      <c r="G136" s="56"/>
    </row>
    <row r="137">
      <c r="B137" s="8" t="b">
        <v>0</v>
      </c>
      <c r="C137" s="55"/>
      <c r="D137" s="56"/>
      <c r="E137" s="56"/>
      <c r="F137" s="57"/>
      <c r="G137" s="56"/>
    </row>
    <row r="138">
      <c r="B138" s="8" t="b">
        <v>0</v>
      </c>
      <c r="C138" s="55"/>
      <c r="D138" s="56"/>
      <c r="E138" s="56"/>
      <c r="F138" s="57"/>
      <c r="G138" s="56"/>
    </row>
    <row r="139">
      <c r="B139" s="8" t="b">
        <v>0</v>
      </c>
      <c r="C139" s="55"/>
      <c r="D139" s="56"/>
      <c r="E139" s="56"/>
      <c r="F139" s="57"/>
      <c r="G139" s="56"/>
    </row>
    <row r="140">
      <c r="B140" s="8" t="b">
        <v>0</v>
      </c>
      <c r="C140" s="55"/>
      <c r="D140" s="56"/>
      <c r="E140" s="56"/>
      <c r="F140" s="57"/>
      <c r="G140" s="56"/>
    </row>
    <row r="141">
      <c r="B141" s="8" t="b">
        <v>0</v>
      </c>
      <c r="C141" s="55"/>
      <c r="D141" s="56"/>
      <c r="E141" s="56"/>
      <c r="F141" s="57"/>
      <c r="G141" s="56"/>
    </row>
    <row r="142">
      <c r="B142" s="8" t="b">
        <v>0</v>
      </c>
      <c r="C142" s="55"/>
      <c r="D142" s="56"/>
      <c r="E142" s="56"/>
      <c r="F142" s="57"/>
      <c r="G142" s="56"/>
    </row>
    <row r="143">
      <c r="B143" s="8" t="b">
        <v>0</v>
      </c>
      <c r="C143" s="55"/>
      <c r="D143" s="56"/>
      <c r="E143" s="56"/>
      <c r="F143" s="57"/>
      <c r="G143" s="56"/>
    </row>
    <row r="144">
      <c r="B144" s="8" t="b">
        <v>0</v>
      </c>
      <c r="C144" s="55"/>
      <c r="D144" s="56"/>
      <c r="E144" s="56"/>
      <c r="F144" s="57"/>
      <c r="G144" s="56"/>
    </row>
    <row r="145">
      <c r="B145" s="8" t="b">
        <v>0</v>
      </c>
      <c r="C145" s="55"/>
      <c r="D145" s="56"/>
      <c r="E145" s="56"/>
      <c r="F145" s="57"/>
      <c r="G145" s="56"/>
    </row>
    <row r="146">
      <c r="B146" s="8" t="b">
        <v>0</v>
      </c>
      <c r="C146" s="55"/>
      <c r="D146" s="56"/>
      <c r="E146" s="56"/>
      <c r="F146" s="57"/>
      <c r="G146" s="56"/>
    </row>
    <row r="147">
      <c r="B147" s="8" t="b">
        <v>0</v>
      </c>
      <c r="C147" s="55"/>
      <c r="D147" s="56"/>
      <c r="E147" s="56"/>
      <c r="F147" s="57"/>
      <c r="G147" s="56"/>
    </row>
    <row r="148">
      <c r="B148" s="8" t="b">
        <v>0</v>
      </c>
      <c r="C148" s="55"/>
      <c r="D148" s="56"/>
      <c r="E148" s="56"/>
      <c r="F148" s="57"/>
      <c r="G148" s="56"/>
    </row>
    <row r="149">
      <c r="B149" s="8" t="b">
        <v>0</v>
      </c>
      <c r="C149" s="55"/>
      <c r="D149" s="56"/>
      <c r="E149" s="56"/>
      <c r="F149" s="57"/>
      <c r="G149" s="56"/>
    </row>
    <row r="150">
      <c r="B150" s="8" t="b">
        <v>0</v>
      </c>
      <c r="C150" s="55"/>
      <c r="D150" s="56"/>
      <c r="E150" s="56"/>
      <c r="F150" s="57"/>
      <c r="G150" s="56"/>
    </row>
    <row r="151">
      <c r="B151" s="8" t="b">
        <v>0</v>
      </c>
      <c r="C151" s="55"/>
      <c r="D151" s="56"/>
      <c r="E151" s="56"/>
      <c r="F151" s="57"/>
      <c r="G151" s="56"/>
    </row>
    <row r="152">
      <c r="B152" s="8" t="b">
        <v>0</v>
      </c>
      <c r="C152" s="55"/>
      <c r="D152" s="56"/>
      <c r="E152" s="56"/>
      <c r="F152" s="57"/>
      <c r="G152" s="56"/>
    </row>
    <row r="153">
      <c r="B153" s="8" t="b">
        <v>0</v>
      </c>
      <c r="C153" s="55"/>
      <c r="D153" s="56"/>
      <c r="E153" s="56"/>
      <c r="F153" s="57"/>
      <c r="G153" s="56"/>
    </row>
    <row r="154">
      <c r="B154" s="8" t="b">
        <v>0</v>
      </c>
      <c r="C154" s="55"/>
      <c r="D154" s="56"/>
      <c r="E154" s="56"/>
      <c r="F154" s="57"/>
      <c r="G154" s="56"/>
    </row>
    <row r="155">
      <c r="B155" s="8" t="b">
        <v>0</v>
      </c>
      <c r="C155" s="55"/>
      <c r="D155" s="56"/>
      <c r="E155" s="56"/>
      <c r="F155" s="57"/>
      <c r="G155" s="56"/>
    </row>
    <row r="156">
      <c r="B156" s="8" t="b">
        <v>0</v>
      </c>
      <c r="C156" s="55"/>
      <c r="D156" s="56"/>
      <c r="E156" s="56"/>
      <c r="F156" s="57"/>
      <c r="G156" s="56"/>
    </row>
    <row r="157">
      <c r="B157" s="8" t="b">
        <v>0</v>
      </c>
      <c r="C157" s="55"/>
      <c r="D157" s="56"/>
      <c r="E157" s="56"/>
      <c r="F157" s="57"/>
      <c r="G157" s="56"/>
    </row>
    <row r="158">
      <c r="B158" s="8" t="b">
        <v>0</v>
      </c>
      <c r="C158" s="55"/>
      <c r="D158" s="56"/>
      <c r="E158" s="56"/>
      <c r="F158" s="57"/>
      <c r="G158" s="56"/>
    </row>
    <row r="159">
      <c r="B159" s="8" t="b">
        <v>0</v>
      </c>
      <c r="C159" s="55"/>
      <c r="D159" s="56"/>
      <c r="E159" s="56"/>
      <c r="F159" s="57"/>
      <c r="G159" s="56"/>
    </row>
    <row r="160">
      <c r="B160" s="8" t="b">
        <v>0</v>
      </c>
      <c r="C160" s="55"/>
      <c r="D160" s="56"/>
      <c r="E160" s="56"/>
      <c r="F160" s="57"/>
      <c r="G160" s="56"/>
    </row>
    <row r="161">
      <c r="B161" s="8" t="b">
        <v>0</v>
      </c>
      <c r="C161" s="55"/>
      <c r="D161" s="56"/>
      <c r="E161" s="56"/>
      <c r="F161" s="57"/>
      <c r="G161" s="56"/>
    </row>
    <row r="162">
      <c r="B162" s="8" t="b">
        <v>0</v>
      </c>
      <c r="C162" s="55"/>
      <c r="D162" s="56"/>
      <c r="E162" s="56"/>
      <c r="F162" s="57"/>
      <c r="G162" s="56"/>
    </row>
    <row r="163">
      <c r="B163" s="8" t="b">
        <v>0</v>
      </c>
      <c r="C163" s="55"/>
      <c r="D163" s="56"/>
      <c r="E163" s="56"/>
      <c r="F163" s="57"/>
      <c r="G163" s="56"/>
    </row>
    <row r="164">
      <c r="B164" s="8" t="b">
        <v>0</v>
      </c>
      <c r="C164" s="55"/>
      <c r="D164" s="56"/>
      <c r="E164" s="56"/>
      <c r="F164" s="57"/>
      <c r="G164" s="56"/>
    </row>
    <row r="165">
      <c r="B165" s="8" t="b">
        <v>0</v>
      </c>
      <c r="C165" s="55"/>
      <c r="D165" s="56"/>
      <c r="E165" s="56"/>
      <c r="F165" s="57"/>
      <c r="G165" s="56"/>
    </row>
    <row r="166">
      <c r="B166" s="8" t="b">
        <v>0</v>
      </c>
      <c r="C166" s="55"/>
      <c r="D166" s="56"/>
      <c r="E166" s="56"/>
      <c r="F166" s="57"/>
      <c r="G166" s="56"/>
    </row>
    <row r="167">
      <c r="B167" s="8" t="b">
        <v>0</v>
      </c>
      <c r="C167" s="55"/>
      <c r="D167" s="56"/>
      <c r="E167" s="56"/>
      <c r="F167" s="57"/>
      <c r="G167" s="56"/>
    </row>
    <row r="168">
      <c r="B168" s="8" t="b">
        <v>0</v>
      </c>
      <c r="C168" s="55"/>
      <c r="D168" s="56"/>
      <c r="E168" s="56"/>
      <c r="F168" s="57"/>
      <c r="G168" s="56"/>
    </row>
    <row r="169">
      <c r="B169" s="8" t="b">
        <v>0</v>
      </c>
      <c r="C169" s="55"/>
      <c r="D169" s="56"/>
      <c r="E169" s="56"/>
      <c r="F169" s="57"/>
      <c r="G169" s="56"/>
    </row>
    <row r="170">
      <c r="B170" s="8" t="b">
        <v>0</v>
      </c>
      <c r="C170" s="55"/>
      <c r="D170" s="56"/>
      <c r="E170" s="56"/>
      <c r="F170" s="57"/>
      <c r="G170" s="56"/>
    </row>
    <row r="171">
      <c r="B171" s="8" t="b">
        <v>0</v>
      </c>
      <c r="C171" s="55"/>
      <c r="D171" s="56"/>
      <c r="E171" s="56"/>
      <c r="F171" s="57"/>
      <c r="G171" s="56"/>
    </row>
    <row r="172">
      <c r="B172" s="8" t="b">
        <v>0</v>
      </c>
      <c r="C172" s="55"/>
      <c r="D172" s="56"/>
      <c r="E172" s="56"/>
      <c r="F172" s="57"/>
      <c r="G172" s="56"/>
    </row>
    <row r="173">
      <c r="B173" s="8" t="b">
        <v>0</v>
      </c>
      <c r="C173" s="55"/>
      <c r="D173" s="56"/>
      <c r="E173" s="56"/>
      <c r="F173" s="57"/>
      <c r="G173" s="56"/>
    </row>
    <row r="174">
      <c r="B174" s="8" t="b">
        <v>0</v>
      </c>
      <c r="C174" s="55"/>
      <c r="D174" s="56"/>
      <c r="E174" s="56"/>
      <c r="F174" s="57"/>
      <c r="G174" s="56"/>
    </row>
    <row r="175">
      <c r="B175" s="8" t="b">
        <v>0</v>
      </c>
      <c r="C175" s="55"/>
      <c r="D175" s="56"/>
      <c r="E175" s="56"/>
      <c r="F175" s="57"/>
      <c r="G175" s="56"/>
    </row>
    <row r="176">
      <c r="B176" s="8" t="b">
        <v>0</v>
      </c>
      <c r="C176" s="55"/>
      <c r="D176" s="56"/>
      <c r="E176" s="56"/>
      <c r="F176" s="57"/>
      <c r="G176" s="56"/>
    </row>
    <row r="177">
      <c r="B177" s="8" t="b">
        <v>0</v>
      </c>
      <c r="C177" s="55"/>
      <c r="D177" s="56"/>
      <c r="E177" s="56"/>
      <c r="F177" s="57"/>
      <c r="G177" s="56"/>
    </row>
    <row r="178">
      <c r="B178" s="8" t="b">
        <v>0</v>
      </c>
      <c r="C178" s="55"/>
      <c r="D178" s="56"/>
      <c r="E178" s="56"/>
      <c r="F178" s="57"/>
      <c r="G178" s="56"/>
    </row>
    <row r="179">
      <c r="B179" s="8" t="b">
        <v>0</v>
      </c>
      <c r="C179" s="55"/>
      <c r="D179" s="56"/>
      <c r="E179" s="56"/>
      <c r="F179" s="57"/>
      <c r="G179" s="56"/>
    </row>
    <row r="180">
      <c r="B180" s="8" t="b">
        <v>0</v>
      </c>
      <c r="C180" s="55"/>
      <c r="D180" s="56"/>
      <c r="E180" s="56"/>
      <c r="F180" s="57"/>
      <c r="G180" s="56"/>
    </row>
    <row r="181">
      <c r="B181" s="8" t="b">
        <v>0</v>
      </c>
      <c r="C181" s="55"/>
      <c r="D181" s="56"/>
      <c r="E181" s="56"/>
      <c r="F181" s="57"/>
      <c r="G181" s="56"/>
    </row>
    <row r="182">
      <c r="B182" s="8" t="b">
        <v>0</v>
      </c>
      <c r="C182" s="55"/>
      <c r="D182" s="56"/>
      <c r="E182" s="56"/>
      <c r="F182" s="57"/>
      <c r="G182" s="56"/>
    </row>
    <row r="183">
      <c r="B183" s="8" t="b">
        <v>0</v>
      </c>
      <c r="C183" s="55"/>
      <c r="D183" s="56"/>
      <c r="E183" s="56"/>
      <c r="F183" s="57"/>
      <c r="G183" s="56"/>
    </row>
    <row r="184">
      <c r="B184" s="8" t="b">
        <v>0</v>
      </c>
      <c r="C184" s="55"/>
      <c r="D184" s="56"/>
      <c r="E184" s="56"/>
      <c r="F184" s="57"/>
      <c r="G184" s="56"/>
    </row>
    <row r="185">
      <c r="B185" s="8" t="b">
        <v>0</v>
      </c>
      <c r="C185" s="55"/>
      <c r="D185" s="56"/>
      <c r="E185" s="56"/>
      <c r="F185" s="57"/>
      <c r="G185" s="56"/>
    </row>
    <row r="186">
      <c r="B186" s="8" t="b">
        <v>0</v>
      </c>
      <c r="C186" s="55"/>
      <c r="D186" s="56"/>
      <c r="E186" s="56"/>
      <c r="F186" s="57"/>
      <c r="G186" s="56"/>
    </row>
    <row r="187">
      <c r="B187" s="8" t="b">
        <v>0</v>
      </c>
      <c r="C187" s="55"/>
      <c r="D187" s="56"/>
      <c r="E187" s="56"/>
      <c r="F187" s="57"/>
      <c r="G187" s="56"/>
    </row>
    <row r="188">
      <c r="B188" s="8" t="b">
        <v>0</v>
      </c>
      <c r="C188" s="55"/>
      <c r="D188" s="56"/>
      <c r="E188" s="56"/>
      <c r="F188" s="57"/>
      <c r="G188" s="56"/>
    </row>
    <row r="189">
      <c r="B189" s="8" t="b">
        <v>0</v>
      </c>
      <c r="C189" s="55"/>
      <c r="D189" s="56"/>
      <c r="E189" s="56"/>
      <c r="F189" s="57"/>
      <c r="G189" s="56"/>
    </row>
    <row r="190">
      <c r="B190" s="8" t="b">
        <v>0</v>
      </c>
      <c r="C190" s="55"/>
      <c r="D190" s="56"/>
      <c r="E190" s="56"/>
      <c r="F190" s="57"/>
      <c r="G190" s="56"/>
    </row>
    <row r="191">
      <c r="B191" s="8" t="b">
        <v>0</v>
      </c>
      <c r="C191" s="55"/>
      <c r="D191" s="56"/>
      <c r="E191" s="56"/>
      <c r="F191" s="57"/>
      <c r="G191" s="56"/>
    </row>
    <row r="192">
      <c r="B192" s="8" t="b">
        <v>0</v>
      </c>
      <c r="C192" s="55"/>
      <c r="D192" s="56"/>
      <c r="E192" s="56"/>
      <c r="F192" s="57"/>
      <c r="G192" s="56"/>
    </row>
    <row r="193">
      <c r="B193" s="8" t="b">
        <v>0</v>
      </c>
      <c r="C193" s="55"/>
      <c r="D193" s="56"/>
      <c r="E193" s="56"/>
      <c r="F193" s="57"/>
      <c r="G193" s="56"/>
    </row>
    <row r="194">
      <c r="B194" s="8" t="b">
        <v>0</v>
      </c>
      <c r="C194" s="55"/>
      <c r="D194" s="56"/>
      <c r="E194" s="56"/>
      <c r="F194" s="57"/>
      <c r="G194" s="56"/>
    </row>
    <row r="195">
      <c r="B195" s="8" t="b">
        <v>0</v>
      </c>
      <c r="C195" s="55"/>
      <c r="D195" s="56"/>
      <c r="E195" s="56"/>
      <c r="F195" s="57"/>
      <c r="G195" s="56"/>
    </row>
    <row r="196">
      <c r="B196" s="8" t="b">
        <v>0</v>
      </c>
      <c r="C196" s="55"/>
      <c r="D196" s="56"/>
      <c r="E196" s="56"/>
      <c r="F196" s="57"/>
      <c r="G196" s="56"/>
    </row>
    <row r="197">
      <c r="B197" s="8" t="b">
        <v>0</v>
      </c>
      <c r="C197" s="55"/>
      <c r="D197" s="56"/>
      <c r="E197" s="56"/>
      <c r="F197" s="57"/>
      <c r="G197" s="56"/>
    </row>
    <row r="198">
      <c r="B198" s="8" t="b">
        <v>0</v>
      </c>
      <c r="C198" s="55"/>
      <c r="D198" s="56"/>
      <c r="E198" s="56"/>
      <c r="F198" s="57"/>
      <c r="G198" s="56"/>
    </row>
    <row r="199">
      <c r="B199" s="8" t="b">
        <v>0</v>
      </c>
      <c r="C199" s="55"/>
      <c r="D199" s="56"/>
      <c r="E199" s="56"/>
      <c r="F199" s="57"/>
      <c r="G199" s="56"/>
    </row>
    <row r="200">
      <c r="B200" s="8" t="b">
        <v>0</v>
      </c>
      <c r="C200" s="55"/>
      <c r="D200" s="56"/>
      <c r="E200" s="56"/>
      <c r="F200" s="57"/>
      <c r="G200" s="56"/>
    </row>
    <row r="201">
      <c r="B201" s="8" t="b">
        <v>0</v>
      </c>
      <c r="C201" s="55"/>
      <c r="D201" s="56"/>
      <c r="E201" s="56"/>
      <c r="F201" s="57"/>
      <c r="G201" s="56"/>
    </row>
    <row r="202">
      <c r="B202" s="8" t="b">
        <v>0</v>
      </c>
      <c r="C202" s="55"/>
      <c r="D202" s="56"/>
      <c r="E202" s="56"/>
      <c r="F202" s="57"/>
      <c r="G202" s="56"/>
    </row>
    <row r="203">
      <c r="B203" s="8" t="b">
        <v>0</v>
      </c>
      <c r="C203" s="55"/>
      <c r="D203" s="56"/>
      <c r="E203" s="56"/>
      <c r="F203" s="57"/>
      <c r="G203" s="56"/>
    </row>
    <row r="204">
      <c r="B204" s="8" t="b">
        <v>0</v>
      </c>
      <c r="C204" s="55"/>
      <c r="D204" s="56"/>
      <c r="E204" s="56"/>
      <c r="F204" s="57"/>
      <c r="G204" s="56"/>
    </row>
    <row r="205">
      <c r="B205" s="8" t="b">
        <v>0</v>
      </c>
      <c r="C205" s="55"/>
      <c r="D205" s="56"/>
      <c r="E205" s="56"/>
      <c r="F205" s="57"/>
      <c r="G205" s="56"/>
    </row>
    <row r="206">
      <c r="B206" s="8" t="b">
        <v>0</v>
      </c>
      <c r="C206" s="55"/>
      <c r="D206" s="56"/>
      <c r="E206" s="56"/>
      <c r="F206" s="57"/>
      <c r="G206" s="56"/>
    </row>
    <row r="207">
      <c r="B207" s="8" t="b">
        <v>0</v>
      </c>
      <c r="C207" s="55"/>
      <c r="D207" s="56"/>
      <c r="E207" s="56"/>
      <c r="F207" s="57"/>
      <c r="G207" s="56"/>
    </row>
    <row r="208">
      <c r="B208" s="8" t="b">
        <v>0</v>
      </c>
      <c r="C208" s="55"/>
      <c r="D208" s="56"/>
      <c r="E208" s="56"/>
      <c r="F208" s="57"/>
      <c r="G208" s="56"/>
    </row>
    <row r="209">
      <c r="B209" s="8" t="b">
        <v>0</v>
      </c>
      <c r="C209" s="55"/>
      <c r="D209" s="56"/>
      <c r="E209" s="56"/>
      <c r="F209" s="57"/>
      <c r="G209" s="56"/>
    </row>
    <row r="210">
      <c r="B210" s="8" t="b">
        <v>0</v>
      </c>
      <c r="C210" s="55"/>
      <c r="D210" s="56"/>
      <c r="E210" s="56"/>
      <c r="F210" s="57"/>
      <c r="G210" s="56"/>
    </row>
    <row r="211">
      <c r="B211" s="8" t="b">
        <v>0</v>
      </c>
      <c r="C211" s="55"/>
      <c r="D211" s="56"/>
      <c r="E211" s="56"/>
      <c r="F211" s="57"/>
      <c r="G211" s="56"/>
    </row>
    <row r="212">
      <c r="B212" s="8" t="b">
        <v>0</v>
      </c>
      <c r="C212" s="55"/>
      <c r="D212" s="56"/>
      <c r="E212" s="56"/>
      <c r="F212" s="57"/>
      <c r="G212" s="56"/>
    </row>
    <row r="213">
      <c r="B213" s="8" t="b">
        <v>0</v>
      </c>
      <c r="C213" s="55"/>
      <c r="D213" s="56"/>
      <c r="E213" s="56"/>
      <c r="F213" s="57"/>
      <c r="G213" s="56"/>
    </row>
    <row r="214">
      <c r="B214" s="8" t="b">
        <v>0</v>
      </c>
      <c r="C214" s="55"/>
      <c r="D214" s="56"/>
      <c r="E214" s="56"/>
      <c r="F214" s="57"/>
      <c r="G214" s="56"/>
    </row>
    <row r="215">
      <c r="B215" s="8" t="b">
        <v>0</v>
      </c>
      <c r="C215" s="55"/>
      <c r="D215" s="56"/>
      <c r="E215" s="56"/>
      <c r="F215" s="57"/>
      <c r="G215" s="56"/>
    </row>
    <row r="216">
      <c r="B216" s="8" t="b">
        <v>0</v>
      </c>
      <c r="C216" s="55"/>
      <c r="D216" s="56"/>
      <c r="E216" s="56"/>
      <c r="F216" s="57"/>
      <c r="G216" s="56"/>
    </row>
    <row r="217">
      <c r="B217" s="8" t="b">
        <v>0</v>
      </c>
      <c r="C217" s="55"/>
      <c r="D217" s="56"/>
      <c r="E217" s="56"/>
      <c r="F217" s="57"/>
      <c r="G217" s="56"/>
    </row>
    <row r="218">
      <c r="B218" s="8" t="b">
        <v>0</v>
      </c>
      <c r="C218" s="55"/>
      <c r="D218" s="56"/>
      <c r="E218" s="56"/>
      <c r="F218" s="57"/>
      <c r="G218" s="56"/>
    </row>
    <row r="219">
      <c r="B219" s="8" t="b">
        <v>0</v>
      </c>
      <c r="C219" s="55"/>
      <c r="D219" s="56"/>
      <c r="E219" s="56"/>
      <c r="F219" s="57"/>
      <c r="G219" s="56"/>
    </row>
    <row r="220">
      <c r="B220" s="8" t="b">
        <v>0</v>
      </c>
      <c r="C220" s="55"/>
      <c r="D220" s="56"/>
      <c r="E220" s="56"/>
      <c r="F220" s="57"/>
      <c r="G220" s="56"/>
    </row>
    <row r="221">
      <c r="B221" s="8" t="b">
        <v>0</v>
      </c>
      <c r="C221" s="55"/>
      <c r="D221" s="56"/>
      <c r="E221" s="56"/>
      <c r="F221" s="57"/>
      <c r="G221" s="56"/>
    </row>
    <row r="222">
      <c r="B222" s="8" t="b">
        <v>0</v>
      </c>
      <c r="C222" s="55"/>
      <c r="D222" s="56"/>
      <c r="E222" s="56"/>
      <c r="F222" s="57"/>
      <c r="G222" s="56"/>
    </row>
    <row r="223">
      <c r="B223" s="8" t="b">
        <v>0</v>
      </c>
      <c r="C223" s="55"/>
      <c r="D223" s="56"/>
      <c r="E223" s="56"/>
      <c r="F223" s="57"/>
      <c r="G223" s="56"/>
    </row>
    <row r="224">
      <c r="B224" s="8" t="b">
        <v>0</v>
      </c>
      <c r="C224" s="55"/>
      <c r="D224" s="56"/>
      <c r="E224" s="56"/>
      <c r="F224" s="57"/>
      <c r="G224" s="56"/>
    </row>
    <row r="225">
      <c r="B225" s="8" t="b">
        <v>0</v>
      </c>
      <c r="C225" s="55"/>
      <c r="D225" s="56"/>
      <c r="E225" s="56"/>
      <c r="F225" s="57"/>
      <c r="G225" s="56"/>
    </row>
    <row r="226">
      <c r="B226" s="8" t="b">
        <v>0</v>
      </c>
      <c r="C226" s="55"/>
      <c r="D226" s="56"/>
      <c r="E226" s="56"/>
      <c r="F226" s="57"/>
      <c r="G226" s="56"/>
    </row>
    <row r="227">
      <c r="B227" s="8" t="b">
        <v>0</v>
      </c>
      <c r="C227" s="55"/>
      <c r="D227" s="56"/>
      <c r="E227" s="56"/>
      <c r="F227" s="57"/>
      <c r="G227" s="56"/>
    </row>
    <row r="228">
      <c r="B228" s="8" t="b">
        <v>0</v>
      </c>
      <c r="C228" s="55"/>
      <c r="D228" s="56"/>
      <c r="E228" s="56"/>
      <c r="F228" s="57"/>
      <c r="G228" s="56"/>
    </row>
    <row r="229">
      <c r="B229" s="8" t="b">
        <v>0</v>
      </c>
      <c r="C229" s="55"/>
      <c r="D229" s="56"/>
      <c r="E229" s="56"/>
      <c r="F229" s="57"/>
      <c r="G229" s="56"/>
    </row>
    <row r="230">
      <c r="B230" s="8" t="b">
        <v>0</v>
      </c>
      <c r="C230" s="55"/>
      <c r="D230" s="56"/>
      <c r="E230" s="56"/>
      <c r="F230" s="57"/>
      <c r="G230" s="56"/>
    </row>
    <row r="231">
      <c r="B231" s="8" t="b">
        <v>0</v>
      </c>
      <c r="C231" s="55"/>
      <c r="D231" s="56"/>
      <c r="E231" s="56"/>
      <c r="F231" s="57"/>
      <c r="G231" s="56"/>
    </row>
    <row r="232">
      <c r="B232" s="8" t="b">
        <v>0</v>
      </c>
      <c r="C232" s="55"/>
      <c r="D232" s="56"/>
      <c r="E232" s="56"/>
      <c r="F232" s="57"/>
      <c r="G232" s="56"/>
    </row>
    <row r="233">
      <c r="B233" s="8" t="b">
        <v>0</v>
      </c>
      <c r="C233" s="55"/>
      <c r="D233" s="56"/>
      <c r="E233" s="56"/>
      <c r="F233" s="57"/>
      <c r="G233" s="56"/>
    </row>
    <row r="234">
      <c r="B234" s="8" t="b">
        <v>0</v>
      </c>
      <c r="C234" s="55"/>
      <c r="D234" s="56"/>
      <c r="E234" s="56"/>
      <c r="F234" s="57"/>
      <c r="G234" s="56"/>
    </row>
    <row r="235">
      <c r="B235" s="8" t="b">
        <v>0</v>
      </c>
      <c r="C235" s="55"/>
      <c r="D235" s="56"/>
      <c r="E235" s="56"/>
      <c r="F235" s="57"/>
      <c r="G235" s="56"/>
    </row>
    <row r="236">
      <c r="B236" s="8" t="b">
        <v>0</v>
      </c>
      <c r="C236" s="55"/>
      <c r="D236" s="56"/>
      <c r="E236" s="56"/>
      <c r="F236" s="57"/>
      <c r="G236" s="56"/>
    </row>
    <row r="237">
      <c r="B237" s="8" t="b">
        <v>0</v>
      </c>
      <c r="C237" s="55"/>
      <c r="D237" s="56"/>
      <c r="E237" s="56"/>
      <c r="F237" s="57"/>
      <c r="G237" s="56"/>
    </row>
    <row r="238">
      <c r="B238" s="8" t="b">
        <v>0</v>
      </c>
      <c r="C238" s="55"/>
      <c r="D238" s="56"/>
      <c r="E238" s="56"/>
      <c r="F238" s="57"/>
      <c r="G238" s="56"/>
    </row>
    <row r="239">
      <c r="B239" s="8" t="b">
        <v>0</v>
      </c>
      <c r="C239" s="55"/>
      <c r="D239" s="56"/>
      <c r="E239" s="56"/>
      <c r="F239" s="57"/>
      <c r="G239" s="56"/>
    </row>
    <row r="240">
      <c r="B240" s="8" t="b">
        <v>0</v>
      </c>
      <c r="C240" s="55"/>
      <c r="D240" s="56"/>
      <c r="E240" s="56"/>
      <c r="F240" s="57"/>
      <c r="G240" s="56"/>
    </row>
    <row r="241">
      <c r="B241" s="8" t="b">
        <v>0</v>
      </c>
      <c r="C241" s="55"/>
      <c r="D241" s="56"/>
      <c r="E241" s="56"/>
      <c r="F241" s="57"/>
      <c r="G241" s="56"/>
    </row>
    <row r="242">
      <c r="B242" s="8" t="b">
        <v>0</v>
      </c>
      <c r="C242" s="55"/>
      <c r="D242" s="56"/>
      <c r="E242" s="56"/>
      <c r="F242" s="57"/>
      <c r="G242" s="56"/>
    </row>
    <row r="243">
      <c r="B243" s="8" t="b">
        <v>0</v>
      </c>
      <c r="C243" s="55"/>
      <c r="D243" s="56"/>
      <c r="E243" s="56"/>
      <c r="F243" s="57"/>
      <c r="G243" s="56"/>
    </row>
    <row r="244">
      <c r="B244" s="8" t="b">
        <v>0</v>
      </c>
      <c r="C244" s="55"/>
      <c r="D244" s="56"/>
      <c r="E244" s="56"/>
      <c r="F244" s="57"/>
      <c r="G244" s="56"/>
    </row>
    <row r="245">
      <c r="B245" s="8" t="b">
        <v>0</v>
      </c>
      <c r="C245" s="55"/>
      <c r="D245" s="56"/>
      <c r="E245" s="56"/>
      <c r="F245" s="57"/>
      <c r="G245" s="56"/>
    </row>
    <row r="246">
      <c r="B246" s="8" t="b">
        <v>0</v>
      </c>
      <c r="C246" s="55"/>
      <c r="D246" s="56"/>
      <c r="E246" s="56"/>
      <c r="F246" s="57"/>
      <c r="G246" s="56"/>
    </row>
    <row r="247">
      <c r="B247" s="8" t="b">
        <v>0</v>
      </c>
      <c r="C247" s="55"/>
      <c r="D247" s="56"/>
      <c r="E247" s="56"/>
      <c r="F247" s="57"/>
      <c r="G247" s="56"/>
    </row>
    <row r="248">
      <c r="B248" s="8" t="b">
        <v>0</v>
      </c>
      <c r="C248" s="55"/>
      <c r="D248" s="56"/>
      <c r="E248" s="56"/>
      <c r="F248" s="57"/>
      <c r="G248" s="56"/>
    </row>
    <row r="249">
      <c r="B249" s="8" t="b">
        <v>0</v>
      </c>
      <c r="C249" s="55"/>
      <c r="D249" s="56"/>
      <c r="E249" s="56"/>
      <c r="F249" s="57"/>
      <c r="G249" s="56"/>
    </row>
    <row r="250">
      <c r="B250" s="8" t="b">
        <v>0</v>
      </c>
      <c r="C250" s="55"/>
      <c r="D250" s="56"/>
      <c r="E250" s="56"/>
      <c r="F250" s="57"/>
      <c r="G250" s="56"/>
    </row>
    <row r="251">
      <c r="B251" s="8" t="b">
        <v>0</v>
      </c>
      <c r="C251" s="55"/>
      <c r="D251" s="56"/>
      <c r="E251" s="56"/>
      <c r="F251" s="57"/>
      <c r="G251" s="56"/>
    </row>
    <row r="252">
      <c r="B252" s="8" t="b">
        <v>0</v>
      </c>
      <c r="C252" s="55"/>
      <c r="D252" s="56"/>
      <c r="E252" s="56"/>
      <c r="F252" s="57"/>
      <c r="G252" s="56"/>
    </row>
    <row r="253">
      <c r="B253" s="8" t="b">
        <v>0</v>
      </c>
      <c r="C253" s="55"/>
      <c r="D253" s="56"/>
      <c r="E253" s="56"/>
      <c r="F253" s="57"/>
      <c r="G253" s="56"/>
    </row>
    <row r="254">
      <c r="B254" s="8" t="b">
        <v>0</v>
      </c>
      <c r="C254" s="55"/>
      <c r="D254" s="56"/>
      <c r="E254" s="56"/>
      <c r="F254" s="57"/>
      <c r="G254" s="56"/>
    </row>
    <row r="255">
      <c r="B255" s="8" t="b">
        <v>0</v>
      </c>
      <c r="C255" s="55"/>
      <c r="D255" s="56"/>
      <c r="E255" s="56"/>
      <c r="F255" s="57"/>
      <c r="G255" s="56"/>
    </row>
    <row r="256">
      <c r="B256" s="8" t="b">
        <v>0</v>
      </c>
      <c r="C256" s="55"/>
      <c r="D256" s="56"/>
      <c r="E256" s="56"/>
      <c r="F256" s="57"/>
      <c r="G256" s="56"/>
    </row>
    <row r="257">
      <c r="B257" s="8" t="b">
        <v>0</v>
      </c>
      <c r="C257" s="55"/>
      <c r="D257" s="56"/>
      <c r="E257" s="56"/>
      <c r="F257" s="57"/>
      <c r="G257" s="56"/>
    </row>
    <row r="258">
      <c r="B258" s="8" t="b">
        <v>0</v>
      </c>
      <c r="C258" s="55"/>
      <c r="D258" s="56"/>
      <c r="E258" s="56"/>
      <c r="F258" s="57"/>
      <c r="G258" s="56"/>
    </row>
    <row r="259">
      <c r="B259" s="8" t="b">
        <v>0</v>
      </c>
      <c r="C259" s="55"/>
      <c r="D259" s="56"/>
      <c r="E259" s="56"/>
      <c r="F259" s="57"/>
      <c r="G259" s="56"/>
    </row>
    <row r="260">
      <c r="B260" s="8" t="b">
        <v>0</v>
      </c>
      <c r="C260" s="55"/>
      <c r="D260" s="56"/>
      <c r="E260" s="56"/>
      <c r="F260" s="57"/>
      <c r="G260" s="56"/>
    </row>
    <row r="261">
      <c r="B261" s="8" t="b">
        <v>0</v>
      </c>
      <c r="C261" s="55"/>
      <c r="D261" s="56"/>
      <c r="E261" s="56"/>
      <c r="F261" s="57"/>
      <c r="G261" s="56"/>
    </row>
    <row r="262">
      <c r="B262" s="8" t="b">
        <v>0</v>
      </c>
      <c r="C262" s="55"/>
      <c r="D262" s="56"/>
      <c r="E262" s="56"/>
      <c r="F262" s="57"/>
      <c r="G262" s="56"/>
    </row>
    <row r="263">
      <c r="B263" s="8" t="b">
        <v>0</v>
      </c>
      <c r="C263" s="55"/>
      <c r="D263" s="56"/>
      <c r="E263" s="56"/>
      <c r="F263" s="57"/>
      <c r="G263" s="56"/>
    </row>
    <row r="264">
      <c r="B264" s="8" t="b">
        <v>0</v>
      </c>
      <c r="C264" s="55"/>
      <c r="D264" s="56"/>
      <c r="E264" s="56"/>
      <c r="F264" s="57"/>
      <c r="G264" s="56"/>
    </row>
    <row r="265">
      <c r="B265" s="8" t="b">
        <v>0</v>
      </c>
      <c r="C265" s="55"/>
      <c r="D265" s="56"/>
      <c r="E265" s="56"/>
      <c r="F265" s="57"/>
      <c r="G265" s="56"/>
    </row>
    <row r="266">
      <c r="B266" s="8" t="b">
        <v>0</v>
      </c>
      <c r="C266" s="55"/>
      <c r="D266" s="56"/>
      <c r="E266" s="56"/>
      <c r="F266" s="57"/>
      <c r="G266" s="56"/>
    </row>
    <row r="267">
      <c r="B267" s="8" t="b">
        <v>0</v>
      </c>
      <c r="C267" s="55"/>
      <c r="D267" s="56"/>
      <c r="E267" s="56"/>
      <c r="F267" s="57"/>
      <c r="G267" s="56"/>
    </row>
    <row r="268">
      <c r="B268" s="8" t="b">
        <v>0</v>
      </c>
      <c r="C268" s="55"/>
      <c r="D268" s="56"/>
      <c r="E268" s="56"/>
      <c r="F268" s="57"/>
      <c r="G268" s="56"/>
    </row>
    <row r="269">
      <c r="B269" s="8" t="b">
        <v>0</v>
      </c>
      <c r="C269" s="55"/>
      <c r="D269" s="56"/>
      <c r="E269" s="56"/>
      <c r="F269" s="57"/>
      <c r="G269" s="56"/>
    </row>
    <row r="270">
      <c r="B270" s="8" t="b">
        <v>0</v>
      </c>
      <c r="C270" s="55"/>
      <c r="D270" s="56"/>
      <c r="E270" s="56"/>
      <c r="F270" s="57"/>
      <c r="G270" s="56"/>
    </row>
    <row r="271">
      <c r="B271" s="8" t="b">
        <v>0</v>
      </c>
      <c r="C271" s="55"/>
      <c r="D271" s="56"/>
      <c r="E271" s="56"/>
      <c r="F271" s="57"/>
      <c r="G271" s="56"/>
    </row>
    <row r="272">
      <c r="B272" s="8" t="b">
        <v>0</v>
      </c>
      <c r="C272" s="55"/>
      <c r="D272" s="56"/>
      <c r="E272" s="56"/>
      <c r="F272" s="57"/>
      <c r="G272" s="56"/>
    </row>
    <row r="273">
      <c r="B273" s="8" t="b">
        <v>0</v>
      </c>
      <c r="C273" s="55"/>
      <c r="D273" s="56"/>
      <c r="E273" s="56"/>
      <c r="F273" s="57"/>
      <c r="G273" s="56"/>
    </row>
    <row r="274">
      <c r="B274" s="8" t="b">
        <v>0</v>
      </c>
      <c r="C274" s="55"/>
      <c r="D274" s="56"/>
      <c r="E274" s="56"/>
      <c r="F274" s="57"/>
      <c r="G274" s="56"/>
    </row>
    <row r="275">
      <c r="B275" s="8" t="b">
        <v>0</v>
      </c>
      <c r="C275" s="55"/>
      <c r="D275" s="56"/>
      <c r="E275" s="56"/>
      <c r="F275" s="57"/>
      <c r="G275" s="56"/>
    </row>
    <row r="276">
      <c r="B276" s="8" t="b">
        <v>0</v>
      </c>
      <c r="C276" s="55"/>
      <c r="D276" s="56"/>
      <c r="E276" s="56"/>
      <c r="F276" s="57"/>
      <c r="G276" s="56"/>
    </row>
    <row r="277">
      <c r="B277" s="8" t="b">
        <v>0</v>
      </c>
      <c r="C277" s="55"/>
      <c r="D277" s="56"/>
      <c r="E277" s="56"/>
      <c r="F277" s="57"/>
      <c r="G277" s="56"/>
    </row>
    <row r="278">
      <c r="B278" s="8" t="b">
        <v>0</v>
      </c>
      <c r="C278" s="55"/>
      <c r="D278" s="56"/>
      <c r="E278" s="56"/>
      <c r="F278" s="57"/>
      <c r="G278" s="56"/>
    </row>
    <row r="279">
      <c r="B279" s="8" t="b">
        <v>0</v>
      </c>
      <c r="C279" s="55"/>
      <c r="D279" s="56"/>
      <c r="E279" s="56"/>
      <c r="F279" s="57"/>
      <c r="G279" s="56"/>
    </row>
    <row r="280">
      <c r="B280" s="8" t="b">
        <v>0</v>
      </c>
      <c r="C280" s="55"/>
      <c r="D280" s="56"/>
      <c r="E280" s="56"/>
      <c r="F280" s="57"/>
      <c r="G280" s="56"/>
    </row>
    <row r="281">
      <c r="B281" s="8" t="b">
        <v>0</v>
      </c>
      <c r="C281" s="55"/>
      <c r="D281" s="56"/>
      <c r="E281" s="56"/>
      <c r="F281" s="57"/>
      <c r="G281" s="56"/>
    </row>
    <row r="282">
      <c r="B282" s="8" t="b">
        <v>0</v>
      </c>
      <c r="C282" s="55"/>
      <c r="D282" s="56"/>
      <c r="E282" s="56"/>
      <c r="F282" s="57"/>
      <c r="G282" s="56"/>
    </row>
    <row r="283">
      <c r="B283" s="8" t="b">
        <v>0</v>
      </c>
      <c r="C283" s="55"/>
      <c r="D283" s="56"/>
      <c r="E283" s="56"/>
      <c r="F283" s="57"/>
      <c r="G283" s="56"/>
    </row>
    <row r="284">
      <c r="B284" s="8" t="b">
        <v>0</v>
      </c>
      <c r="C284" s="55"/>
      <c r="D284" s="56"/>
      <c r="E284" s="56"/>
      <c r="F284" s="57"/>
      <c r="G284" s="56"/>
    </row>
    <row r="285">
      <c r="B285" s="8" t="b">
        <v>0</v>
      </c>
      <c r="C285" s="55"/>
      <c r="D285" s="56"/>
      <c r="E285" s="56"/>
      <c r="F285" s="57"/>
      <c r="G285" s="56"/>
    </row>
    <row r="286">
      <c r="B286" s="8" t="b">
        <v>0</v>
      </c>
      <c r="C286" s="55"/>
      <c r="D286" s="56"/>
      <c r="E286" s="56"/>
      <c r="F286" s="57"/>
      <c r="G286" s="56"/>
    </row>
    <row r="287">
      <c r="B287" s="8" t="b">
        <v>0</v>
      </c>
      <c r="C287" s="55"/>
      <c r="D287" s="56"/>
      <c r="E287" s="56"/>
      <c r="F287" s="57"/>
      <c r="G287" s="56"/>
    </row>
    <row r="288">
      <c r="B288" s="8" t="b">
        <v>0</v>
      </c>
      <c r="C288" s="55"/>
      <c r="D288" s="56"/>
      <c r="E288" s="56"/>
      <c r="F288" s="57"/>
      <c r="G288" s="56"/>
    </row>
    <row r="289">
      <c r="B289" s="8" t="b">
        <v>0</v>
      </c>
      <c r="C289" s="55"/>
      <c r="D289" s="56"/>
      <c r="E289" s="56"/>
      <c r="F289" s="57"/>
      <c r="G289" s="56"/>
    </row>
    <row r="290">
      <c r="B290" s="8" t="b">
        <v>0</v>
      </c>
      <c r="C290" s="55"/>
      <c r="D290" s="56"/>
      <c r="E290" s="56"/>
      <c r="F290" s="57"/>
      <c r="G290" s="56"/>
    </row>
    <row r="291">
      <c r="B291" s="8" t="b">
        <v>0</v>
      </c>
      <c r="C291" s="55"/>
      <c r="D291" s="56"/>
      <c r="E291" s="56"/>
      <c r="F291" s="57"/>
      <c r="G291" s="56"/>
    </row>
    <row r="292">
      <c r="B292" s="8" t="b">
        <v>0</v>
      </c>
      <c r="C292" s="55"/>
      <c r="D292" s="56"/>
      <c r="E292" s="56"/>
      <c r="F292" s="57"/>
      <c r="G292" s="56"/>
    </row>
    <row r="293">
      <c r="B293" s="8" t="b">
        <v>0</v>
      </c>
      <c r="C293" s="55"/>
      <c r="D293" s="56"/>
      <c r="E293" s="56"/>
      <c r="F293" s="57"/>
      <c r="G293" s="56"/>
    </row>
    <row r="294">
      <c r="B294" s="8" t="b">
        <v>0</v>
      </c>
      <c r="C294" s="55"/>
      <c r="D294" s="56"/>
      <c r="E294" s="56"/>
      <c r="F294" s="57"/>
      <c r="G294" s="56"/>
    </row>
    <row r="295">
      <c r="B295" s="8" t="b">
        <v>0</v>
      </c>
      <c r="C295" s="55"/>
      <c r="D295" s="56"/>
      <c r="E295" s="56"/>
      <c r="F295" s="57"/>
      <c r="G295" s="56"/>
    </row>
    <row r="296">
      <c r="B296" s="8" t="b">
        <v>0</v>
      </c>
      <c r="C296" s="55"/>
      <c r="D296" s="56"/>
      <c r="E296" s="56"/>
      <c r="F296" s="57"/>
      <c r="G296" s="56"/>
    </row>
    <row r="297">
      <c r="B297" s="8" t="b">
        <v>0</v>
      </c>
      <c r="C297" s="55"/>
      <c r="D297" s="56"/>
      <c r="E297" s="56"/>
      <c r="F297" s="57"/>
      <c r="G297" s="56"/>
    </row>
    <row r="298">
      <c r="B298" s="8" t="b">
        <v>0</v>
      </c>
      <c r="C298" s="55"/>
      <c r="D298" s="56"/>
      <c r="E298" s="56"/>
      <c r="F298" s="57"/>
      <c r="G298" s="56"/>
    </row>
    <row r="299">
      <c r="B299" s="8" t="b">
        <v>0</v>
      </c>
      <c r="C299" s="55"/>
      <c r="D299" s="56"/>
      <c r="E299" s="56"/>
      <c r="F299" s="57"/>
      <c r="G299" s="56"/>
    </row>
    <row r="300">
      <c r="B300" s="8" t="b">
        <v>0</v>
      </c>
      <c r="C300" s="55"/>
      <c r="D300" s="56"/>
      <c r="E300" s="56"/>
      <c r="F300" s="57"/>
      <c r="G300" s="56"/>
    </row>
    <row r="301">
      <c r="B301" s="8" t="b">
        <v>0</v>
      </c>
      <c r="C301" s="55"/>
      <c r="D301" s="56"/>
      <c r="E301" s="56"/>
      <c r="F301" s="57"/>
      <c r="G301" s="56"/>
    </row>
    <row r="302">
      <c r="B302" s="8" t="b">
        <v>0</v>
      </c>
      <c r="C302" s="55"/>
      <c r="D302" s="56"/>
      <c r="E302" s="56"/>
      <c r="F302" s="57"/>
      <c r="G302" s="56"/>
    </row>
    <row r="303">
      <c r="B303" s="8" t="b">
        <v>0</v>
      </c>
      <c r="C303" s="55"/>
      <c r="D303" s="56"/>
      <c r="E303" s="56"/>
      <c r="F303" s="57"/>
      <c r="G303" s="56"/>
    </row>
    <row r="304">
      <c r="B304" s="8" t="b">
        <v>0</v>
      </c>
      <c r="C304" s="55"/>
      <c r="D304" s="56"/>
      <c r="E304" s="56"/>
      <c r="F304" s="57"/>
      <c r="G304" s="56"/>
    </row>
    <row r="305">
      <c r="B305" s="8" t="b">
        <v>0</v>
      </c>
      <c r="C305" s="55"/>
      <c r="D305" s="56"/>
      <c r="E305" s="56"/>
      <c r="F305" s="57"/>
      <c r="G305" s="56"/>
    </row>
    <row r="306">
      <c r="B306" s="8" t="b">
        <v>0</v>
      </c>
      <c r="C306" s="55"/>
      <c r="D306" s="56"/>
      <c r="E306" s="56"/>
      <c r="F306" s="57"/>
      <c r="G306" s="56"/>
    </row>
    <row r="307">
      <c r="B307" s="8" t="b">
        <v>0</v>
      </c>
      <c r="C307" s="55"/>
      <c r="D307" s="56"/>
      <c r="E307" s="56"/>
      <c r="F307" s="57"/>
      <c r="G307" s="56"/>
    </row>
    <row r="308">
      <c r="B308" s="8" t="b">
        <v>0</v>
      </c>
      <c r="C308" s="55"/>
      <c r="D308" s="56"/>
      <c r="E308" s="56"/>
      <c r="F308" s="57"/>
      <c r="G308" s="56"/>
    </row>
    <row r="309">
      <c r="B309" s="8" t="b">
        <v>0</v>
      </c>
      <c r="C309" s="55"/>
      <c r="D309" s="56"/>
      <c r="E309" s="56"/>
      <c r="F309" s="57"/>
      <c r="G309" s="56"/>
    </row>
    <row r="310">
      <c r="B310" s="8" t="b">
        <v>0</v>
      </c>
      <c r="C310" s="55"/>
      <c r="D310" s="56"/>
      <c r="E310" s="56"/>
      <c r="F310" s="57"/>
      <c r="G310" s="56"/>
    </row>
    <row r="311">
      <c r="B311" s="8" t="b">
        <v>0</v>
      </c>
      <c r="C311" s="55"/>
      <c r="D311" s="56"/>
      <c r="E311" s="56"/>
      <c r="F311" s="57"/>
      <c r="G311" s="56"/>
    </row>
    <row r="312">
      <c r="B312" s="8" t="b">
        <v>0</v>
      </c>
      <c r="C312" s="55"/>
      <c r="D312" s="56"/>
      <c r="E312" s="56"/>
      <c r="F312" s="57"/>
      <c r="G312" s="56"/>
    </row>
    <row r="313">
      <c r="B313" s="8" t="b">
        <v>0</v>
      </c>
      <c r="C313" s="55"/>
      <c r="D313" s="56"/>
      <c r="E313" s="56"/>
      <c r="F313" s="57"/>
      <c r="G313" s="56"/>
    </row>
    <row r="314">
      <c r="B314" s="8" t="b">
        <v>0</v>
      </c>
      <c r="C314" s="55"/>
      <c r="D314" s="56"/>
      <c r="E314" s="56"/>
      <c r="F314" s="57"/>
      <c r="G314" s="56"/>
    </row>
    <row r="315">
      <c r="B315" s="8" t="b">
        <v>0</v>
      </c>
      <c r="C315" s="55"/>
      <c r="D315" s="56"/>
      <c r="E315" s="56"/>
      <c r="F315" s="57"/>
      <c r="G315" s="56"/>
    </row>
    <row r="316">
      <c r="B316" s="8" t="b">
        <v>0</v>
      </c>
      <c r="C316" s="55"/>
      <c r="D316" s="56"/>
      <c r="E316" s="56"/>
      <c r="F316" s="57"/>
      <c r="G316" s="56"/>
    </row>
    <row r="317">
      <c r="B317" s="8" t="b">
        <v>0</v>
      </c>
      <c r="C317" s="55"/>
      <c r="D317" s="56"/>
      <c r="E317" s="56"/>
      <c r="F317" s="57"/>
      <c r="G317" s="56"/>
    </row>
    <row r="318">
      <c r="B318" s="8" t="b">
        <v>0</v>
      </c>
      <c r="C318" s="55"/>
      <c r="D318" s="56"/>
      <c r="E318" s="56"/>
      <c r="F318" s="57"/>
      <c r="G318" s="56"/>
    </row>
    <row r="319">
      <c r="B319" s="8" t="b">
        <v>0</v>
      </c>
      <c r="C319" s="55"/>
      <c r="D319" s="56"/>
      <c r="E319" s="56"/>
      <c r="F319" s="57"/>
      <c r="G319" s="56"/>
    </row>
    <row r="320">
      <c r="B320" s="8" t="b">
        <v>0</v>
      </c>
      <c r="C320" s="55"/>
      <c r="D320" s="56"/>
      <c r="E320" s="56"/>
      <c r="F320" s="57"/>
      <c r="G320" s="56"/>
    </row>
    <row r="321">
      <c r="B321" s="8" t="b">
        <v>0</v>
      </c>
      <c r="C321" s="55"/>
      <c r="D321" s="56"/>
      <c r="E321" s="56"/>
      <c r="F321" s="57"/>
      <c r="G321" s="56"/>
    </row>
    <row r="322">
      <c r="B322" s="8" t="b">
        <v>0</v>
      </c>
      <c r="C322" s="55"/>
      <c r="D322" s="56"/>
      <c r="E322" s="56"/>
      <c r="F322" s="57"/>
      <c r="G322" s="56"/>
    </row>
    <row r="323">
      <c r="B323" s="8" t="b">
        <v>0</v>
      </c>
      <c r="C323" s="55"/>
      <c r="D323" s="56"/>
      <c r="E323" s="56"/>
      <c r="F323" s="57"/>
      <c r="G323" s="56"/>
    </row>
    <row r="324">
      <c r="B324" s="8" t="b">
        <v>0</v>
      </c>
      <c r="C324" s="55"/>
      <c r="D324" s="56"/>
      <c r="E324" s="56"/>
      <c r="F324" s="57"/>
      <c r="G324" s="56"/>
    </row>
    <row r="325">
      <c r="B325" s="8" t="b">
        <v>0</v>
      </c>
      <c r="C325" s="55"/>
      <c r="D325" s="56"/>
      <c r="E325" s="56"/>
      <c r="F325" s="57"/>
      <c r="G325" s="56"/>
    </row>
    <row r="326">
      <c r="B326" s="8" t="b">
        <v>0</v>
      </c>
      <c r="C326" s="55"/>
      <c r="D326" s="56"/>
      <c r="E326" s="56"/>
      <c r="F326" s="57"/>
      <c r="G326" s="56"/>
    </row>
    <row r="327">
      <c r="B327" s="8" t="b">
        <v>0</v>
      </c>
      <c r="C327" s="55"/>
      <c r="D327" s="56"/>
      <c r="E327" s="56"/>
      <c r="F327" s="57"/>
      <c r="G327" s="56"/>
    </row>
    <row r="328">
      <c r="B328" s="8" t="b">
        <v>0</v>
      </c>
      <c r="C328" s="55"/>
      <c r="D328" s="56"/>
      <c r="E328" s="56"/>
      <c r="F328" s="57"/>
      <c r="G328" s="56"/>
    </row>
    <row r="329">
      <c r="B329" s="8" t="b">
        <v>0</v>
      </c>
      <c r="C329" s="55"/>
      <c r="D329" s="56"/>
      <c r="E329" s="56"/>
      <c r="F329" s="57"/>
      <c r="G329" s="56"/>
    </row>
    <row r="330">
      <c r="B330" s="8" t="b">
        <v>0</v>
      </c>
      <c r="C330" s="55"/>
      <c r="D330" s="56"/>
      <c r="E330" s="56"/>
      <c r="F330" s="57"/>
      <c r="G330" s="56"/>
    </row>
    <row r="331">
      <c r="B331" s="8" t="b">
        <v>0</v>
      </c>
      <c r="C331" s="55"/>
      <c r="D331" s="56"/>
      <c r="E331" s="56"/>
      <c r="F331" s="57"/>
      <c r="G331" s="56"/>
    </row>
    <row r="332">
      <c r="B332" s="8" t="b">
        <v>0</v>
      </c>
      <c r="C332" s="55"/>
      <c r="D332" s="56"/>
      <c r="E332" s="56"/>
      <c r="F332" s="57"/>
      <c r="G332" s="56"/>
    </row>
    <row r="333">
      <c r="B333" s="8" t="b">
        <v>0</v>
      </c>
      <c r="C333" s="55"/>
      <c r="D333" s="56"/>
      <c r="E333" s="56"/>
      <c r="F333" s="57"/>
      <c r="G333" s="56"/>
    </row>
    <row r="334">
      <c r="B334" s="8" t="b">
        <v>0</v>
      </c>
      <c r="C334" s="55"/>
      <c r="D334" s="56"/>
      <c r="E334" s="56"/>
      <c r="F334" s="57"/>
      <c r="G334" s="56"/>
    </row>
    <row r="335">
      <c r="B335" s="8" t="b">
        <v>0</v>
      </c>
      <c r="C335" s="55"/>
      <c r="D335" s="56"/>
      <c r="E335" s="56"/>
      <c r="F335" s="57"/>
      <c r="G335" s="56"/>
    </row>
    <row r="336">
      <c r="B336" s="8" t="b">
        <v>0</v>
      </c>
      <c r="C336" s="55"/>
      <c r="D336" s="56"/>
      <c r="E336" s="56"/>
      <c r="F336" s="57"/>
      <c r="G336" s="56"/>
    </row>
    <row r="337">
      <c r="B337" s="8" t="b">
        <v>0</v>
      </c>
      <c r="C337" s="55"/>
      <c r="D337" s="56"/>
      <c r="E337" s="56"/>
      <c r="F337" s="57"/>
      <c r="G337" s="56"/>
    </row>
    <row r="338">
      <c r="B338" s="8" t="b">
        <v>0</v>
      </c>
      <c r="C338" s="55"/>
      <c r="D338" s="56"/>
      <c r="E338" s="56"/>
      <c r="F338" s="57"/>
      <c r="G338" s="56"/>
    </row>
    <row r="339">
      <c r="B339" s="8" t="b">
        <v>0</v>
      </c>
      <c r="C339" s="55"/>
      <c r="D339" s="56"/>
      <c r="E339" s="56"/>
      <c r="F339" s="57"/>
      <c r="G339" s="56"/>
    </row>
    <row r="340">
      <c r="B340" s="8" t="b">
        <v>0</v>
      </c>
      <c r="C340" s="55"/>
      <c r="D340" s="56"/>
      <c r="E340" s="56"/>
      <c r="F340" s="57"/>
      <c r="G340" s="56"/>
    </row>
    <row r="341">
      <c r="B341" s="8" t="b">
        <v>0</v>
      </c>
      <c r="C341" s="55"/>
      <c r="D341" s="56"/>
      <c r="E341" s="56"/>
      <c r="F341" s="57"/>
      <c r="G341" s="56"/>
    </row>
    <row r="342">
      <c r="B342" s="8" t="b">
        <v>0</v>
      </c>
      <c r="C342" s="55"/>
      <c r="D342" s="56"/>
      <c r="E342" s="56"/>
      <c r="F342" s="57"/>
      <c r="G342" s="56"/>
    </row>
    <row r="343">
      <c r="B343" s="8" t="b">
        <v>0</v>
      </c>
      <c r="C343" s="55"/>
      <c r="D343" s="56"/>
      <c r="E343" s="56"/>
      <c r="F343" s="57"/>
      <c r="G343" s="56"/>
    </row>
    <row r="344">
      <c r="B344" s="8" t="b">
        <v>0</v>
      </c>
      <c r="C344" s="55"/>
      <c r="D344" s="56"/>
      <c r="E344" s="56"/>
      <c r="F344" s="57"/>
      <c r="G344" s="56"/>
    </row>
    <row r="345">
      <c r="B345" s="8" t="b">
        <v>0</v>
      </c>
      <c r="C345" s="55"/>
      <c r="D345" s="56"/>
      <c r="E345" s="56"/>
      <c r="F345" s="57"/>
      <c r="G345" s="56"/>
    </row>
    <row r="346">
      <c r="B346" s="8" t="b">
        <v>0</v>
      </c>
      <c r="C346" s="55"/>
      <c r="D346" s="56"/>
      <c r="E346" s="56"/>
      <c r="F346" s="57"/>
      <c r="G346" s="56"/>
    </row>
    <row r="347">
      <c r="B347" s="8" t="b">
        <v>0</v>
      </c>
      <c r="C347" s="55"/>
      <c r="D347" s="56"/>
      <c r="E347" s="56"/>
      <c r="F347" s="57"/>
      <c r="G347" s="56"/>
    </row>
    <row r="348">
      <c r="B348" s="8" t="b">
        <v>0</v>
      </c>
      <c r="C348" s="55"/>
      <c r="D348" s="56"/>
      <c r="E348" s="56"/>
      <c r="F348" s="57"/>
      <c r="G348" s="56"/>
    </row>
    <row r="349">
      <c r="B349" s="8" t="b">
        <v>0</v>
      </c>
      <c r="C349" s="55"/>
      <c r="D349" s="56"/>
      <c r="E349" s="56"/>
      <c r="F349" s="57"/>
      <c r="G349" s="56"/>
    </row>
    <row r="350">
      <c r="B350" s="8" t="b">
        <v>0</v>
      </c>
      <c r="C350" s="55"/>
      <c r="D350" s="56"/>
      <c r="E350" s="56"/>
      <c r="F350" s="57"/>
      <c r="G350" s="56"/>
    </row>
    <row r="351">
      <c r="B351" s="8" t="b">
        <v>0</v>
      </c>
      <c r="C351" s="55"/>
      <c r="D351" s="56"/>
      <c r="E351" s="56"/>
      <c r="F351" s="57"/>
      <c r="G351" s="56"/>
    </row>
    <row r="352">
      <c r="B352" s="8" t="b">
        <v>0</v>
      </c>
      <c r="C352" s="55"/>
      <c r="D352" s="56"/>
      <c r="E352" s="56"/>
      <c r="F352" s="57"/>
      <c r="G352" s="56"/>
    </row>
    <row r="353">
      <c r="B353" s="8" t="b">
        <v>0</v>
      </c>
      <c r="C353" s="55"/>
      <c r="D353" s="56"/>
      <c r="E353" s="56"/>
      <c r="F353" s="57"/>
      <c r="G353" s="56"/>
    </row>
    <row r="354">
      <c r="B354" s="8" t="b">
        <v>0</v>
      </c>
      <c r="C354" s="55"/>
      <c r="D354" s="56"/>
      <c r="E354" s="56"/>
      <c r="F354" s="57"/>
      <c r="G354" s="56"/>
    </row>
    <row r="355">
      <c r="B355" s="8" t="b">
        <v>0</v>
      </c>
      <c r="C355" s="55"/>
      <c r="D355" s="56"/>
      <c r="E355" s="56"/>
      <c r="F355" s="57"/>
      <c r="G355" s="56"/>
    </row>
    <row r="356">
      <c r="B356" s="8" t="b">
        <v>0</v>
      </c>
      <c r="C356" s="55"/>
      <c r="D356" s="56"/>
      <c r="E356" s="56"/>
      <c r="F356" s="57"/>
      <c r="G356" s="56"/>
    </row>
    <row r="357">
      <c r="B357" s="8" t="b">
        <v>0</v>
      </c>
      <c r="C357" s="55"/>
      <c r="D357" s="56"/>
      <c r="E357" s="56"/>
      <c r="F357" s="57"/>
      <c r="G357" s="56"/>
    </row>
    <row r="358">
      <c r="B358" s="8" t="b">
        <v>0</v>
      </c>
      <c r="C358" s="55"/>
      <c r="D358" s="56"/>
      <c r="E358" s="56"/>
      <c r="F358" s="57"/>
      <c r="G358" s="56"/>
    </row>
    <row r="359">
      <c r="B359" s="8" t="b">
        <v>0</v>
      </c>
      <c r="C359" s="55"/>
      <c r="D359" s="56"/>
      <c r="E359" s="56"/>
      <c r="F359" s="57"/>
      <c r="G359" s="56"/>
    </row>
    <row r="360">
      <c r="B360" s="8" t="b">
        <v>0</v>
      </c>
      <c r="C360" s="55"/>
      <c r="D360" s="56"/>
      <c r="E360" s="56"/>
      <c r="F360" s="57"/>
      <c r="G360" s="56"/>
    </row>
    <row r="361">
      <c r="B361" s="8" t="b">
        <v>0</v>
      </c>
      <c r="C361" s="55"/>
      <c r="D361" s="56"/>
      <c r="E361" s="56"/>
      <c r="F361" s="57"/>
      <c r="G361" s="56"/>
    </row>
    <row r="362">
      <c r="B362" s="8" t="b">
        <v>0</v>
      </c>
      <c r="C362" s="55"/>
      <c r="D362" s="56"/>
      <c r="E362" s="56"/>
      <c r="F362" s="57"/>
      <c r="G362" s="56"/>
    </row>
    <row r="363">
      <c r="B363" s="8" t="b">
        <v>0</v>
      </c>
      <c r="C363" s="55"/>
      <c r="D363" s="56"/>
      <c r="E363" s="56"/>
      <c r="F363" s="57"/>
      <c r="G363" s="56"/>
    </row>
    <row r="364">
      <c r="B364" s="8" t="b">
        <v>0</v>
      </c>
      <c r="C364" s="55"/>
      <c r="D364" s="56"/>
      <c r="E364" s="56"/>
      <c r="F364" s="57"/>
      <c r="G364" s="56"/>
    </row>
    <row r="365">
      <c r="B365" s="8" t="b">
        <v>0</v>
      </c>
      <c r="C365" s="55"/>
      <c r="D365" s="56"/>
      <c r="E365" s="56"/>
      <c r="F365" s="57"/>
      <c r="G365" s="56"/>
    </row>
    <row r="366">
      <c r="B366" s="8" t="b">
        <v>0</v>
      </c>
      <c r="C366" s="55"/>
      <c r="D366" s="56"/>
      <c r="E366" s="56"/>
      <c r="F366" s="57"/>
      <c r="G366" s="56"/>
    </row>
    <row r="367">
      <c r="B367" s="8" t="b">
        <v>0</v>
      </c>
      <c r="C367" s="55"/>
      <c r="D367" s="56"/>
      <c r="E367" s="56"/>
      <c r="F367" s="57"/>
      <c r="G367" s="56"/>
    </row>
    <row r="368">
      <c r="B368" s="8" t="b">
        <v>0</v>
      </c>
      <c r="C368" s="55"/>
      <c r="D368" s="56"/>
      <c r="E368" s="56"/>
      <c r="F368" s="57"/>
      <c r="G368" s="56"/>
    </row>
    <row r="369">
      <c r="B369" s="8" t="b">
        <v>0</v>
      </c>
      <c r="C369" s="55"/>
      <c r="D369" s="56"/>
      <c r="E369" s="56"/>
      <c r="F369" s="57"/>
      <c r="G369" s="56"/>
    </row>
    <row r="370">
      <c r="B370" s="8" t="b">
        <v>0</v>
      </c>
      <c r="C370" s="55"/>
      <c r="D370" s="56"/>
      <c r="E370" s="56"/>
      <c r="F370" s="57"/>
      <c r="G370" s="56"/>
    </row>
    <row r="371">
      <c r="B371" s="8" t="b">
        <v>0</v>
      </c>
      <c r="C371" s="55"/>
      <c r="D371" s="56"/>
      <c r="E371" s="56"/>
      <c r="F371" s="57"/>
      <c r="G371" s="56"/>
    </row>
    <row r="372">
      <c r="B372" s="8" t="b">
        <v>0</v>
      </c>
      <c r="C372" s="55"/>
      <c r="D372" s="56"/>
      <c r="E372" s="56"/>
      <c r="F372" s="57"/>
      <c r="G372" s="56"/>
    </row>
    <row r="373">
      <c r="B373" s="8" t="b">
        <v>0</v>
      </c>
      <c r="C373" s="55"/>
      <c r="D373" s="56"/>
      <c r="E373" s="56"/>
      <c r="F373" s="57"/>
      <c r="G373" s="56"/>
    </row>
    <row r="374">
      <c r="B374" s="8" t="b">
        <v>0</v>
      </c>
      <c r="C374" s="55"/>
      <c r="D374" s="56"/>
      <c r="E374" s="56"/>
      <c r="F374" s="57"/>
      <c r="G374" s="56"/>
    </row>
    <row r="375">
      <c r="B375" s="8" t="b">
        <v>0</v>
      </c>
      <c r="C375" s="55"/>
      <c r="D375" s="56"/>
      <c r="E375" s="56"/>
      <c r="F375" s="57"/>
      <c r="G375" s="56"/>
    </row>
    <row r="376">
      <c r="B376" s="8" t="b">
        <v>0</v>
      </c>
      <c r="C376" s="55"/>
      <c r="D376" s="56"/>
      <c r="E376" s="56"/>
      <c r="F376" s="57"/>
      <c r="G376" s="56"/>
    </row>
    <row r="377">
      <c r="B377" s="8" t="b">
        <v>0</v>
      </c>
      <c r="C377" s="55"/>
      <c r="D377" s="56"/>
      <c r="E377" s="56"/>
      <c r="F377" s="57"/>
      <c r="G377" s="56"/>
    </row>
    <row r="378">
      <c r="B378" s="8" t="b">
        <v>0</v>
      </c>
      <c r="C378" s="55"/>
      <c r="D378" s="56"/>
      <c r="E378" s="56"/>
      <c r="F378" s="57"/>
      <c r="G378" s="56"/>
    </row>
    <row r="379">
      <c r="B379" s="8" t="b">
        <v>0</v>
      </c>
      <c r="C379" s="55"/>
      <c r="D379" s="56"/>
      <c r="E379" s="56"/>
      <c r="F379" s="57"/>
      <c r="G379" s="56"/>
    </row>
    <row r="380">
      <c r="B380" s="8" t="b">
        <v>0</v>
      </c>
      <c r="C380" s="55"/>
      <c r="D380" s="56"/>
      <c r="E380" s="56"/>
      <c r="F380" s="57"/>
      <c r="G380" s="56"/>
    </row>
    <row r="381">
      <c r="B381" s="8" t="b">
        <v>0</v>
      </c>
      <c r="C381" s="55"/>
      <c r="D381" s="56"/>
      <c r="E381" s="56"/>
      <c r="F381" s="57"/>
      <c r="G381" s="56"/>
    </row>
    <row r="382">
      <c r="B382" s="8" t="b">
        <v>0</v>
      </c>
      <c r="C382" s="55"/>
      <c r="D382" s="56"/>
      <c r="E382" s="56"/>
      <c r="F382" s="57"/>
      <c r="G382" s="56"/>
    </row>
    <row r="383">
      <c r="B383" s="8" t="b">
        <v>0</v>
      </c>
      <c r="C383" s="55"/>
      <c r="D383" s="56"/>
      <c r="E383" s="56"/>
      <c r="F383" s="57"/>
      <c r="G383" s="56"/>
    </row>
    <row r="384">
      <c r="B384" s="8" t="b">
        <v>0</v>
      </c>
      <c r="C384" s="55"/>
      <c r="D384" s="56"/>
      <c r="E384" s="56"/>
      <c r="F384" s="57"/>
      <c r="G384" s="56"/>
    </row>
    <row r="385">
      <c r="B385" s="8" t="b">
        <v>0</v>
      </c>
      <c r="C385" s="55"/>
      <c r="D385" s="56"/>
      <c r="E385" s="56"/>
      <c r="F385" s="57"/>
      <c r="G385" s="56"/>
    </row>
    <row r="386">
      <c r="B386" s="8" t="b">
        <v>0</v>
      </c>
      <c r="C386" s="55"/>
      <c r="D386" s="56"/>
      <c r="E386" s="56"/>
      <c r="F386" s="57"/>
      <c r="G386" s="56"/>
    </row>
    <row r="387">
      <c r="B387" s="8" t="b">
        <v>0</v>
      </c>
      <c r="C387" s="55"/>
      <c r="D387" s="56"/>
      <c r="E387" s="56"/>
      <c r="F387" s="57"/>
      <c r="G387" s="56"/>
    </row>
    <row r="388">
      <c r="B388" s="8" t="b">
        <v>0</v>
      </c>
      <c r="C388" s="55"/>
      <c r="D388" s="56"/>
      <c r="E388" s="56"/>
      <c r="F388" s="57"/>
      <c r="G388" s="56"/>
    </row>
    <row r="389">
      <c r="B389" s="8" t="b">
        <v>0</v>
      </c>
      <c r="C389" s="55"/>
      <c r="D389" s="56"/>
      <c r="E389" s="56"/>
      <c r="F389" s="57"/>
      <c r="G389" s="56"/>
    </row>
    <row r="390">
      <c r="B390" s="8" t="b">
        <v>0</v>
      </c>
      <c r="C390" s="55"/>
      <c r="D390" s="56"/>
      <c r="E390" s="56"/>
      <c r="F390" s="57"/>
      <c r="G390" s="56"/>
    </row>
    <row r="391">
      <c r="B391" s="8" t="b">
        <v>0</v>
      </c>
      <c r="C391" s="55"/>
      <c r="D391" s="56"/>
      <c r="E391" s="56"/>
      <c r="F391" s="57"/>
      <c r="G391" s="56"/>
    </row>
    <row r="392">
      <c r="B392" s="8" t="b">
        <v>0</v>
      </c>
      <c r="C392" s="55"/>
      <c r="D392" s="56"/>
      <c r="E392" s="56"/>
      <c r="F392" s="57"/>
      <c r="G392" s="56"/>
    </row>
    <row r="393">
      <c r="B393" s="8" t="b">
        <v>0</v>
      </c>
      <c r="C393" s="55"/>
      <c r="D393" s="56"/>
      <c r="E393" s="56"/>
      <c r="F393" s="57"/>
      <c r="G393" s="56"/>
    </row>
    <row r="394">
      <c r="B394" s="8" t="b">
        <v>0</v>
      </c>
      <c r="C394" s="55"/>
      <c r="D394" s="56"/>
      <c r="E394" s="56"/>
      <c r="F394" s="57"/>
      <c r="G394" s="56"/>
    </row>
    <row r="395">
      <c r="B395" s="8" t="b">
        <v>0</v>
      </c>
      <c r="C395" s="55"/>
      <c r="D395" s="56"/>
      <c r="E395" s="56"/>
      <c r="F395" s="57"/>
      <c r="G395" s="56"/>
    </row>
    <row r="396">
      <c r="B396" s="8" t="b">
        <v>0</v>
      </c>
      <c r="C396" s="55"/>
      <c r="D396" s="56"/>
      <c r="E396" s="56"/>
      <c r="F396" s="57"/>
      <c r="G396" s="56"/>
    </row>
    <row r="397">
      <c r="B397" s="8" t="b">
        <v>0</v>
      </c>
      <c r="C397" s="55"/>
      <c r="D397" s="56"/>
      <c r="E397" s="56"/>
      <c r="F397" s="57"/>
      <c r="G397" s="56"/>
    </row>
    <row r="398">
      <c r="B398" s="8" t="b">
        <v>0</v>
      </c>
      <c r="C398" s="55"/>
      <c r="D398" s="56"/>
      <c r="E398" s="56"/>
      <c r="F398" s="57"/>
      <c r="G398" s="56"/>
    </row>
    <row r="399">
      <c r="B399" s="8" t="b">
        <v>0</v>
      </c>
      <c r="C399" s="55"/>
      <c r="D399" s="56"/>
      <c r="E399" s="56"/>
      <c r="F399" s="57"/>
      <c r="G399" s="56"/>
    </row>
    <row r="400">
      <c r="B400" s="8" t="b">
        <v>0</v>
      </c>
      <c r="C400" s="55"/>
      <c r="D400" s="56"/>
      <c r="E400" s="56"/>
      <c r="F400" s="57"/>
      <c r="G400" s="56"/>
    </row>
    <row r="401">
      <c r="B401" s="8" t="b">
        <v>0</v>
      </c>
      <c r="C401" s="55"/>
      <c r="D401" s="56"/>
      <c r="E401" s="56"/>
      <c r="F401" s="57"/>
      <c r="G401" s="56"/>
    </row>
    <row r="402">
      <c r="B402" s="8" t="b">
        <v>0</v>
      </c>
      <c r="C402" s="55"/>
      <c r="D402" s="56"/>
      <c r="E402" s="56"/>
      <c r="F402" s="57"/>
      <c r="G402" s="56"/>
    </row>
    <row r="403">
      <c r="B403" s="8" t="b">
        <v>0</v>
      </c>
      <c r="C403" s="55"/>
      <c r="D403" s="56"/>
      <c r="E403" s="56"/>
      <c r="F403" s="57"/>
      <c r="G403" s="56"/>
    </row>
    <row r="404">
      <c r="B404" s="8" t="b">
        <v>0</v>
      </c>
      <c r="C404" s="55"/>
      <c r="D404" s="56"/>
      <c r="E404" s="56"/>
      <c r="F404" s="57"/>
      <c r="G404" s="56"/>
    </row>
    <row r="405">
      <c r="B405" s="8" t="b">
        <v>0</v>
      </c>
      <c r="C405" s="55"/>
      <c r="D405" s="56"/>
      <c r="E405" s="56"/>
      <c r="F405" s="57"/>
      <c r="G405" s="56"/>
    </row>
    <row r="406">
      <c r="B406" s="8" t="b">
        <v>0</v>
      </c>
      <c r="C406" s="55"/>
      <c r="D406" s="56"/>
      <c r="E406" s="56"/>
      <c r="F406" s="57"/>
      <c r="G406" s="56"/>
    </row>
    <row r="407">
      <c r="B407" s="8" t="b">
        <v>0</v>
      </c>
      <c r="C407" s="55"/>
      <c r="D407" s="56"/>
      <c r="E407" s="56"/>
      <c r="F407" s="57"/>
      <c r="G407" s="56"/>
    </row>
    <row r="408">
      <c r="B408" s="8" t="b">
        <v>0</v>
      </c>
      <c r="C408" s="55"/>
      <c r="D408" s="56"/>
      <c r="E408" s="56"/>
      <c r="F408" s="57"/>
      <c r="G408" s="56"/>
    </row>
    <row r="409">
      <c r="B409" s="8" t="b">
        <v>0</v>
      </c>
      <c r="C409" s="55"/>
      <c r="D409" s="56"/>
      <c r="E409" s="56"/>
      <c r="F409" s="57"/>
      <c r="G409" s="56"/>
    </row>
    <row r="410">
      <c r="B410" s="8" t="b">
        <v>0</v>
      </c>
      <c r="C410" s="55"/>
      <c r="D410" s="56"/>
      <c r="E410" s="56"/>
      <c r="F410" s="57"/>
      <c r="G410" s="56"/>
    </row>
    <row r="411">
      <c r="B411" s="8" t="b">
        <v>0</v>
      </c>
      <c r="C411" s="55"/>
      <c r="D411" s="56"/>
      <c r="E411" s="56"/>
      <c r="F411" s="57"/>
      <c r="G411" s="56"/>
    </row>
    <row r="412">
      <c r="B412" s="8" t="b">
        <v>0</v>
      </c>
      <c r="C412" s="55"/>
      <c r="D412" s="56"/>
      <c r="E412" s="56"/>
      <c r="F412" s="57"/>
      <c r="G412" s="56"/>
    </row>
    <row r="413">
      <c r="B413" s="8" t="b">
        <v>0</v>
      </c>
      <c r="C413" s="55"/>
      <c r="D413" s="56"/>
      <c r="E413" s="56"/>
      <c r="F413" s="57"/>
      <c r="G413" s="56"/>
    </row>
    <row r="414">
      <c r="B414" s="8" t="b">
        <v>0</v>
      </c>
      <c r="C414" s="55"/>
      <c r="D414" s="56"/>
      <c r="E414" s="56"/>
      <c r="F414" s="57"/>
      <c r="G414" s="56"/>
    </row>
    <row r="415">
      <c r="B415" s="8" t="b">
        <v>0</v>
      </c>
      <c r="C415" s="55"/>
      <c r="D415" s="56"/>
      <c r="E415" s="56"/>
      <c r="F415" s="57"/>
      <c r="G415" s="56"/>
    </row>
    <row r="416">
      <c r="B416" s="8" t="b">
        <v>0</v>
      </c>
      <c r="C416" s="55"/>
      <c r="D416" s="56"/>
      <c r="E416" s="56"/>
      <c r="F416" s="57"/>
      <c r="G416" s="56"/>
    </row>
    <row r="417">
      <c r="B417" s="8" t="b">
        <v>0</v>
      </c>
      <c r="C417" s="55"/>
      <c r="D417" s="56"/>
      <c r="E417" s="56"/>
      <c r="F417" s="57"/>
      <c r="G417" s="56"/>
    </row>
    <row r="418">
      <c r="B418" s="8" t="b">
        <v>0</v>
      </c>
      <c r="C418" s="55"/>
      <c r="D418" s="56"/>
      <c r="E418" s="56"/>
      <c r="F418" s="57"/>
      <c r="G418" s="56"/>
    </row>
    <row r="419">
      <c r="B419" s="8" t="b">
        <v>0</v>
      </c>
      <c r="C419" s="55"/>
      <c r="D419" s="56"/>
      <c r="E419" s="56"/>
      <c r="F419" s="57"/>
      <c r="G419" s="56"/>
    </row>
    <row r="420">
      <c r="B420" s="8" t="b">
        <v>0</v>
      </c>
      <c r="C420" s="55"/>
      <c r="D420" s="56"/>
      <c r="E420" s="56"/>
      <c r="F420" s="57"/>
      <c r="G420" s="56"/>
    </row>
    <row r="421">
      <c r="B421" s="8" t="b">
        <v>0</v>
      </c>
      <c r="C421" s="55"/>
      <c r="D421" s="56"/>
      <c r="E421" s="56"/>
      <c r="F421" s="57"/>
      <c r="G421" s="56"/>
    </row>
    <row r="422">
      <c r="B422" s="8" t="b">
        <v>0</v>
      </c>
      <c r="C422" s="55"/>
      <c r="D422" s="56"/>
      <c r="E422" s="56"/>
      <c r="F422" s="57"/>
      <c r="G422" s="56"/>
    </row>
    <row r="423">
      <c r="B423" s="8" t="b">
        <v>0</v>
      </c>
      <c r="C423" s="55"/>
      <c r="D423" s="56"/>
      <c r="E423" s="56"/>
      <c r="F423" s="57"/>
      <c r="G423" s="56"/>
    </row>
    <row r="424">
      <c r="B424" s="8" t="b">
        <v>0</v>
      </c>
      <c r="C424" s="55"/>
      <c r="D424" s="56"/>
      <c r="E424" s="56"/>
      <c r="F424" s="57"/>
      <c r="G424" s="56"/>
    </row>
    <row r="425">
      <c r="B425" s="8" t="b">
        <v>0</v>
      </c>
      <c r="C425" s="55"/>
      <c r="D425" s="56"/>
      <c r="E425" s="56"/>
      <c r="F425" s="57"/>
      <c r="G425" s="56"/>
    </row>
    <row r="426">
      <c r="B426" s="8" t="b">
        <v>0</v>
      </c>
      <c r="C426" s="55"/>
      <c r="D426" s="56"/>
      <c r="E426" s="56"/>
      <c r="F426" s="57"/>
      <c r="G426" s="56"/>
    </row>
    <row r="427">
      <c r="B427" s="8" t="b">
        <v>0</v>
      </c>
      <c r="C427" s="55"/>
      <c r="D427" s="56"/>
      <c r="E427" s="56"/>
      <c r="F427" s="57"/>
      <c r="G427" s="56"/>
    </row>
    <row r="428">
      <c r="B428" s="8" t="b">
        <v>0</v>
      </c>
      <c r="C428" s="55"/>
      <c r="D428" s="56"/>
      <c r="E428" s="56"/>
      <c r="F428" s="57"/>
      <c r="G428" s="56"/>
    </row>
    <row r="429">
      <c r="B429" s="8" t="b">
        <v>0</v>
      </c>
      <c r="C429" s="55"/>
      <c r="D429" s="56"/>
      <c r="E429" s="56"/>
      <c r="F429" s="57"/>
      <c r="G429" s="56"/>
    </row>
    <row r="430">
      <c r="B430" s="8" t="b">
        <v>0</v>
      </c>
      <c r="C430" s="55"/>
      <c r="D430" s="56"/>
      <c r="E430" s="56"/>
      <c r="F430" s="57"/>
      <c r="G430" s="56"/>
    </row>
    <row r="431">
      <c r="B431" s="8" t="b">
        <v>0</v>
      </c>
      <c r="C431" s="55"/>
      <c r="D431" s="56"/>
      <c r="E431" s="56"/>
      <c r="F431" s="57"/>
      <c r="G431" s="56"/>
    </row>
    <row r="432">
      <c r="B432" s="8" t="b">
        <v>0</v>
      </c>
      <c r="C432" s="55"/>
      <c r="D432" s="56"/>
      <c r="E432" s="56"/>
      <c r="F432" s="57"/>
      <c r="G432" s="56"/>
    </row>
    <row r="433">
      <c r="B433" s="8" t="b">
        <v>0</v>
      </c>
      <c r="C433" s="55"/>
      <c r="D433" s="56"/>
      <c r="E433" s="56"/>
      <c r="F433" s="57"/>
      <c r="G433" s="56"/>
    </row>
    <row r="434">
      <c r="B434" s="8" t="b">
        <v>0</v>
      </c>
      <c r="C434" s="55"/>
      <c r="D434" s="56"/>
      <c r="E434" s="56"/>
      <c r="F434" s="57"/>
      <c r="G434" s="56"/>
    </row>
    <row r="435">
      <c r="B435" s="8" t="b">
        <v>0</v>
      </c>
      <c r="C435" s="55"/>
      <c r="D435" s="56"/>
      <c r="E435" s="56"/>
      <c r="F435" s="57"/>
      <c r="G435" s="56"/>
    </row>
    <row r="436">
      <c r="B436" s="8" t="b">
        <v>0</v>
      </c>
      <c r="C436" s="55"/>
      <c r="D436" s="56"/>
      <c r="E436" s="56"/>
      <c r="F436" s="57"/>
      <c r="G436" s="56"/>
    </row>
    <row r="437">
      <c r="B437" s="8" t="b">
        <v>0</v>
      </c>
      <c r="C437" s="55"/>
      <c r="D437" s="56"/>
      <c r="E437" s="56"/>
      <c r="F437" s="57"/>
      <c r="G437" s="56"/>
    </row>
    <row r="438">
      <c r="B438" s="8" t="b">
        <v>0</v>
      </c>
      <c r="C438" s="55"/>
      <c r="D438" s="56"/>
      <c r="E438" s="56"/>
      <c r="F438" s="57"/>
      <c r="G438" s="56"/>
    </row>
    <row r="439">
      <c r="B439" s="8" t="b">
        <v>0</v>
      </c>
      <c r="C439" s="55"/>
      <c r="D439" s="56"/>
      <c r="E439" s="56"/>
      <c r="F439" s="57"/>
      <c r="G439" s="56"/>
    </row>
    <row r="440">
      <c r="B440" s="8" t="b">
        <v>0</v>
      </c>
      <c r="C440" s="55"/>
      <c r="D440" s="56"/>
      <c r="E440" s="56"/>
      <c r="F440" s="57"/>
      <c r="G440" s="56"/>
    </row>
    <row r="441">
      <c r="B441" s="8" t="b">
        <v>0</v>
      </c>
      <c r="C441" s="55"/>
      <c r="D441" s="56"/>
      <c r="E441" s="56"/>
      <c r="F441" s="57"/>
      <c r="G441" s="56"/>
    </row>
    <row r="442">
      <c r="B442" s="8" t="b">
        <v>0</v>
      </c>
      <c r="C442" s="55"/>
      <c r="D442" s="56"/>
      <c r="E442" s="56"/>
      <c r="F442" s="57"/>
      <c r="G442" s="56"/>
    </row>
    <row r="443">
      <c r="B443" s="8" t="b">
        <v>0</v>
      </c>
      <c r="C443" s="55"/>
      <c r="D443" s="56"/>
      <c r="E443" s="56"/>
      <c r="F443" s="57"/>
      <c r="G443" s="56"/>
    </row>
    <row r="444">
      <c r="B444" s="8" t="b">
        <v>0</v>
      </c>
      <c r="C444" s="55"/>
      <c r="D444" s="56"/>
      <c r="E444" s="56"/>
      <c r="F444" s="57"/>
      <c r="G444" s="56"/>
    </row>
    <row r="445">
      <c r="B445" s="8" t="b">
        <v>0</v>
      </c>
      <c r="C445" s="55"/>
      <c r="D445" s="56"/>
      <c r="E445" s="56"/>
      <c r="F445" s="57"/>
      <c r="G445" s="56"/>
    </row>
    <row r="446">
      <c r="B446" s="8" t="b">
        <v>0</v>
      </c>
      <c r="C446" s="55"/>
      <c r="D446" s="56"/>
      <c r="E446" s="56"/>
      <c r="F446" s="57"/>
      <c r="G446" s="56"/>
    </row>
    <row r="447">
      <c r="B447" s="8" t="b">
        <v>0</v>
      </c>
      <c r="C447" s="55"/>
      <c r="D447" s="56"/>
      <c r="E447" s="56"/>
      <c r="F447" s="57"/>
      <c r="G447" s="56"/>
    </row>
    <row r="448">
      <c r="B448" s="8" t="b">
        <v>0</v>
      </c>
      <c r="C448" s="55"/>
      <c r="D448" s="56"/>
      <c r="E448" s="56"/>
      <c r="F448" s="57"/>
      <c r="G448" s="56"/>
    </row>
    <row r="449">
      <c r="B449" s="8" t="b">
        <v>0</v>
      </c>
      <c r="C449" s="55"/>
      <c r="D449" s="56"/>
      <c r="E449" s="56"/>
      <c r="F449" s="57"/>
      <c r="G449" s="56"/>
    </row>
    <row r="450">
      <c r="B450" s="8" t="b">
        <v>0</v>
      </c>
      <c r="C450" s="55"/>
      <c r="D450" s="56"/>
      <c r="E450" s="56"/>
      <c r="F450" s="57"/>
      <c r="G450" s="56"/>
    </row>
    <row r="451">
      <c r="B451" s="8" t="b">
        <v>0</v>
      </c>
      <c r="C451" s="55"/>
      <c r="D451" s="56"/>
      <c r="E451" s="56"/>
      <c r="F451" s="57"/>
      <c r="G451" s="56"/>
    </row>
    <row r="452">
      <c r="B452" s="8" t="b">
        <v>0</v>
      </c>
      <c r="C452" s="55"/>
      <c r="D452" s="56"/>
      <c r="E452" s="56"/>
      <c r="F452" s="57"/>
      <c r="G452" s="56"/>
    </row>
    <row r="453">
      <c r="B453" s="8" t="b">
        <v>0</v>
      </c>
      <c r="C453" s="55"/>
      <c r="D453" s="56"/>
      <c r="E453" s="56"/>
      <c r="F453" s="57"/>
      <c r="G453" s="56"/>
    </row>
    <row r="454">
      <c r="B454" s="8" t="b">
        <v>0</v>
      </c>
      <c r="C454" s="55"/>
      <c r="D454" s="56"/>
      <c r="E454" s="56"/>
      <c r="F454" s="57"/>
      <c r="G454" s="56"/>
    </row>
    <row r="455">
      <c r="B455" s="8" t="b">
        <v>0</v>
      </c>
      <c r="C455" s="55"/>
      <c r="D455" s="56"/>
      <c r="E455" s="56"/>
      <c r="F455" s="57"/>
      <c r="G455" s="56"/>
    </row>
    <row r="456">
      <c r="B456" s="8" t="b">
        <v>0</v>
      </c>
      <c r="C456" s="55"/>
      <c r="D456" s="56"/>
      <c r="E456" s="56"/>
      <c r="F456" s="57"/>
      <c r="G456" s="56"/>
    </row>
    <row r="457">
      <c r="B457" s="8" t="b">
        <v>0</v>
      </c>
      <c r="C457" s="55"/>
      <c r="D457" s="56"/>
      <c r="E457" s="56"/>
      <c r="F457" s="57"/>
      <c r="G457" s="56"/>
    </row>
    <row r="458">
      <c r="B458" s="8" t="b">
        <v>0</v>
      </c>
      <c r="C458" s="55"/>
      <c r="D458" s="56"/>
      <c r="E458" s="56"/>
      <c r="F458" s="57"/>
      <c r="G458" s="56"/>
    </row>
    <row r="459">
      <c r="B459" s="8" t="b">
        <v>0</v>
      </c>
      <c r="C459" s="55"/>
      <c r="D459" s="56"/>
      <c r="E459" s="56"/>
      <c r="F459" s="57"/>
      <c r="G459" s="56"/>
    </row>
    <row r="460">
      <c r="B460" s="8" t="b">
        <v>0</v>
      </c>
      <c r="C460" s="55"/>
      <c r="D460" s="56"/>
      <c r="E460" s="56"/>
      <c r="F460" s="57"/>
      <c r="G460" s="56"/>
    </row>
    <row r="461">
      <c r="B461" s="8" t="b">
        <v>0</v>
      </c>
      <c r="C461" s="55"/>
      <c r="D461" s="56"/>
      <c r="E461" s="56"/>
      <c r="F461" s="57"/>
      <c r="G461" s="56"/>
    </row>
    <row r="462">
      <c r="B462" s="8" t="b">
        <v>0</v>
      </c>
      <c r="C462" s="55"/>
      <c r="D462" s="56"/>
      <c r="E462" s="56"/>
      <c r="F462" s="57"/>
      <c r="G462" s="56"/>
    </row>
    <row r="463">
      <c r="B463" s="8" t="b">
        <v>0</v>
      </c>
      <c r="C463" s="55"/>
      <c r="D463" s="56"/>
      <c r="E463" s="56"/>
      <c r="F463" s="57"/>
      <c r="G463" s="56"/>
    </row>
    <row r="464">
      <c r="B464" s="8" t="b">
        <v>0</v>
      </c>
      <c r="C464" s="55"/>
      <c r="D464" s="56"/>
      <c r="E464" s="56"/>
      <c r="F464" s="57"/>
      <c r="G464" s="56"/>
    </row>
    <row r="465">
      <c r="B465" s="8" t="b">
        <v>0</v>
      </c>
      <c r="C465" s="55"/>
      <c r="D465" s="56"/>
      <c r="E465" s="56"/>
      <c r="F465" s="57"/>
      <c r="G465" s="56"/>
    </row>
    <row r="466">
      <c r="B466" s="8" t="b">
        <v>0</v>
      </c>
      <c r="C466" s="55"/>
      <c r="D466" s="56"/>
      <c r="E466" s="56"/>
      <c r="F466" s="57"/>
      <c r="G466" s="56"/>
    </row>
    <row r="467">
      <c r="B467" s="8" t="b">
        <v>0</v>
      </c>
      <c r="C467" s="55"/>
      <c r="D467" s="56"/>
      <c r="E467" s="56"/>
      <c r="F467" s="57"/>
      <c r="G467" s="56"/>
    </row>
    <row r="468">
      <c r="B468" s="8" t="b">
        <v>0</v>
      </c>
      <c r="C468" s="55"/>
      <c r="D468" s="56"/>
      <c r="E468" s="56"/>
      <c r="F468" s="57"/>
      <c r="G468" s="56"/>
    </row>
    <row r="469">
      <c r="B469" s="8" t="b">
        <v>0</v>
      </c>
      <c r="C469" s="55"/>
      <c r="D469" s="56"/>
      <c r="E469" s="56"/>
      <c r="F469" s="57"/>
      <c r="G469" s="56"/>
    </row>
    <row r="470">
      <c r="B470" s="8" t="b">
        <v>0</v>
      </c>
      <c r="C470" s="55"/>
      <c r="D470" s="56"/>
      <c r="E470" s="56"/>
      <c r="F470" s="57"/>
      <c r="G470" s="56"/>
    </row>
    <row r="471">
      <c r="B471" s="8" t="b">
        <v>0</v>
      </c>
      <c r="C471" s="55"/>
      <c r="D471" s="56"/>
      <c r="E471" s="56"/>
      <c r="F471" s="57"/>
      <c r="G471" s="56"/>
    </row>
    <row r="472">
      <c r="B472" s="8" t="b">
        <v>0</v>
      </c>
      <c r="C472" s="55"/>
      <c r="D472" s="56"/>
      <c r="E472" s="56"/>
      <c r="F472" s="57"/>
      <c r="G472" s="56"/>
    </row>
    <row r="473">
      <c r="B473" s="8" t="b">
        <v>0</v>
      </c>
      <c r="C473" s="55"/>
      <c r="D473" s="56"/>
      <c r="E473" s="56"/>
      <c r="F473" s="57"/>
      <c r="G473" s="56"/>
    </row>
    <row r="474">
      <c r="B474" s="8" t="b">
        <v>0</v>
      </c>
      <c r="C474" s="55"/>
      <c r="D474" s="56"/>
      <c r="E474" s="56"/>
      <c r="F474" s="57"/>
      <c r="G474" s="56"/>
    </row>
    <row r="475">
      <c r="B475" s="8" t="b">
        <v>0</v>
      </c>
      <c r="C475" s="55"/>
      <c r="D475" s="56"/>
      <c r="E475" s="56"/>
      <c r="F475" s="57"/>
      <c r="G475" s="56"/>
    </row>
    <row r="476">
      <c r="B476" s="8" t="b">
        <v>0</v>
      </c>
      <c r="C476" s="55"/>
      <c r="D476" s="56"/>
      <c r="E476" s="56"/>
      <c r="F476" s="57"/>
      <c r="G476" s="56"/>
    </row>
    <row r="477">
      <c r="B477" s="8" t="b">
        <v>0</v>
      </c>
      <c r="C477" s="55"/>
      <c r="D477" s="56"/>
      <c r="E477" s="56"/>
      <c r="F477" s="57"/>
      <c r="G477" s="56"/>
    </row>
    <row r="478">
      <c r="B478" s="8" t="b">
        <v>0</v>
      </c>
      <c r="C478" s="55"/>
      <c r="D478" s="56"/>
      <c r="E478" s="56"/>
      <c r="F478" s="57"/>
      <c r="G478" s="56"/>
    </row>
    <row r="479">
      <c r="B479" s="8" t="b">
        <v>0</v>
      </c>
      <c r="C479" s="55"/>
      <c r="D479" s="56"/>
      <c r="E479" s="56"/>
      <c r="F479" s="57"/>
      <c r="G479" s="56"/>
    </row>
    <row r="480">
      <c r="B480" s="8" t="b">
        <v>0</v>
      </c>
      <c r="C480" s="55"/>
      <c r="D480" s="56"/>
      <c r="E480" s="56"/>
      <c r="F480" s="57"/>
      <c r="G480" s="56"/>
    </row>
    <row r="481">
      <c r="B481" s="8" t="b">
        <v>0</v>
      </c>
      <c r="C481" s="55"/>
      <c r="D481" s="56"/>
      <c r="E481" s="56"/>
      <c r="F481" s="57"/>
      <c r="G481" s="56"/>
    </row>
    <row r="482">
      <c r="B482" s="8" t="b">
        <v>0</v>
      </c>
      <c r="C482" s="55"/>
      <c r="D482" s="56"/>
      <c r="E482" s="56"/>
      <c r="F482" s="57"/>
      <c r="G482" s="56"/>
    </row>
    <row r="483">
      <c r="B483" s="8" t="b">
        <v>0</v>
      </c>
      <c r="C483" s="55"/>
      <c r="D483" s="56"/>
      <c r="E483" s="56"/>
      <c r="F483" s="57"/>
      <c r="G483" s="56"/>
    </row>
    <row r="484">
      <c r="B484" s="8" t="b">
        <v>0</v>
      </c>
      <c r="C484" s="55"/>
      <c r="D484" s="56"/>
      <c r="E484" s="56"/>
      <c r="F484" s="57"/>
      <c r="G484" s="56"/>
    </row>
    <row r="485">
      <c r="B485" s="8" t="b">
        <v>0</v>
      </c>
      <c r="C485" s="55"/>
      <c r="D485" s="56"/>
      <c r="E485" s="56"/>
      <c r="F485" s="57"/>
      <c r="G485" s="56"/>
    </row>
    <row r="486">
      <c r="B486" s="8" t="b">
        <v>0</v>
      </c>
      <c r="C486" s="55"/>
      <c r="D486" s="56"/>
      <c r="E486" s="56"/>
      <c r="F486" s="57"/>
      <c r="G486" s="56"/>
    </row>
    <row r="487">
      <c r="B487" s="8" t="b">
        <v>0</v>
      </c>
      <c r="C487" s="55"/>
      <c r="D487" s="56"/>
      <c r="E487" s="56"/>
      <c r="F487" s="57"/>
      <c r="G487" s="56"/>
    </row>
    <row r="488">
      <c r="B488" s="8" t="b">
        <v>0</v>
      </c>
      <c r="C488" s="55"/>
      <c r="D488" s="56"/>
      <c r="E488" s="56"/>
      <c r="F488" s="57"/>
      <c r="G488" s="56"/>
    </row>
    <row r="489">
      <c r="B489" s="8" t="b">
        <v>0</v>
      </c>
      <c r="C489" s="55"/>
      <c r="D489" s="56"/>
      <c r="E489" s="56"/>
      <c r="F489" s="57"/>
      <c r="G489" s="56"/>
    </row>
    <row r="490">
      <c r="B490" s="8" t="b">
        <v>0</v>
      </c>
      <c r="C490" s="55"/>
      <c r="D490" s="56"/>
      <c r="E490" s="56"/>
      <c r="F490" s="57"/>
      <c r="G490" s="56"/>
    </row>
    <row r="491">
      <c r="B491" s="8" t="b">
        <v>0</v>
      </c>
      <c r="C491" s="55"/>
      <c r="D491" s="56"/>
      <c r="E491" s="56"/>
      <c r="F491" s="57"/>
      <c r="G491" s="56"/>
    </row>
    <row r="492">
      <c r="B492" s="8" t="b">
        <v>0</v>
      </c>
      <c r="C492" s="55"/>
      <c r="D492" s="56"/>
      <c r="E492" s="56"/>
      <c r="F492" s="57"/>
      <c r="G492" s="56"/>
    </row>
    <row r="493">
      <c r="B493" s="8" t="b">
        <v>0</v>
      </c>
      <c r="C493" s="55"/>
      <c r="D493" s="56"/>
      <c r="E493" s="56"/>
      <c r="F493" s="57"/>
      <c r="G493" s="56"/>
    </row>
    <row r="494">
      <c r="B494" s="8" t="b">
        <v>0</v>
      </c>
      <c r="C494" s="55"/>
      <c r="D494" s="56"/>
      <c r="E494" s="56"/>
      <c r="F494" s="57"/>
      <c r="G494" s="56"/>
    </row>
    <row r="495">
      <c r="B495" s="8" t="b">
        <v>0</v>
      </c>
      <c r="C495" s="55"/>
      <c r="D495" s="56"/>
      <c r="E495" s="56"/>
      <c r="F495" s="57"/>
      <c r="G495" s="56"/>
    </row>
    <row r="496">
      <c r="B496" s="8" t="b">
        <v>0</v>
      </c>
      <c r="C496" s="55"/>
      <c r="D496" s="56"/>
      <c r="E496" s="56"/>
      <c r="F496" s="57"/>
      <c r="G496" s="56"/>
    </row>
    <row r="497">
      <c r="B497" s="8" t="b">
        <v>0</v>
      </c>
      <c r="C497" s="55"/>
      <c r="D497" s="56"/>
      <c r="E497" s="56"/>
      <c r="F497" s="57"/>
      <c r="G497" s="56"/>
    </row>
    <row r="498">
      <c r="B498" s="8" t="b">
        <v>0</v>
      </c>
      <c r="C498" s="55"/>
      <c r="D498" s="56"/>
      <c r="E498" s="56"/>
      <c r="F498" s="57"/>
      <c r="G498" s="56"/>
    </row>
    <row r="499">
      <c r="B499" s="8" t="b">
        <v>0</v>
      </c>
      <c r="C499" s="55"/>
      <c r="D499" s="56"/>
      <c r="E499" s="56"/>
      <c r="F499" s="57"/>
      <c r="G499" s="56"/>
    </row>
    <row r="500">
      <c r="B500" s="8" t="b">
        <v>0</v>
      </c>
      <c r="C500" s="55"/>
      <c r="D500" s="56"/>
      <c r="E500" s="56"/>
      <c r="F500" s="57"/>
      <c r="G500" s="56"/>
    </row>
    <row r="501">
      <c r="B501" s="8" t="b">
        <v>0</v>
      </c>
      <c r="C501" s="55"/>
      <c r="D501" s="56"/>
      <c r="E501" s="56"/>
      <c r="F501" s="57"/>
      <c r="G501" s="56"/>
    </row>
    <row r="502">
      <c r="B502" s="8" t="b">
        <v>0</v>
      </c>
      <c r="C502" s="55"/>
      <c r="D502" s="56"/>
      <c r="E502" s="56"/>
      <c r="F502" s="57"/>
      <c r="G502" s="56"/>
    </row>
    <row r="503">
      <c r="B503" s="8" t="b">
        <v>0</v>
      </c>
      <c r="C503" s="55"/>
      <c r="D503" s="56"/>
      <c r="E503" s="56"/>
      <c r="F503" s="57"/>
      <c r="G503" s="56"/>
    </row>
    <row r="504">
      <c r="B504" s="8" t="b">
        <v>0</v>
      </c>
      <c r="C504" s="55"/>
      <c r="D504" s="56"/>
      <c r="E504" s="56"/>
      <c r="F504" s="57"/>
      <c r="G504" s="56"/>
    </row>
    <row r="505">
      <c r="B505" s="8" t="b">
        <v>0</v>
      </c>
      <c r="C505" s="55"/>
      <c r="D505" s="56"/>
      <c r="E505" s="56"/>
      <c r="F505" s="57"/>
      <c r="G505" s="56"/>
    </row>
    <row r="506">
      <c r="B506" s="8" t="b">
        <v>0</v>
      </c>
      <c r="C506" s="55"/>
      <c r="D506" s="56"/>
      <c r="E506" s="56"/>
      <c r="F506" s="57"/>
      <c r="G506" s="56"/>
    </row>
    <row r="507">
      <c r="B507" s="8" t="b">
        <v>0</v>
      </c>
      <c r="C507" s="55"/>
      <c r="D507" s="56"/>
      <c r="E507" s="56"/>
      <c r="F507" s="57"/>
      <c r="G507" s="56"/>
    </row>
    <row r="508">
      <c r="B508" s="8" t="b">
        <v>0</v>
      </c>
      <c r="C508" s="55"/>
      <c r="D508" s="56"/>
      <c r="E508" s="56"/>
      <c r="F508" s="57"/>
      <c r="G508" s="56"/>
    </row>
    <row r="509">
      <c r="B509" s="8" t="b">
        <v>0</v>
      </c>
      <c r="C509" s="55"/>
      <c r="D509" s="56"/>
      <c r="E509" s="56"/>
      <c r="F509" s="57"/>
      <c r="G509" s="56"/>
    </row>
    <row r="510">
      <c r="B510" s="8" t="b">
        <v>0</v>
      </c>
      <c r="C510" s="55"/>
      <c r="D510" s="56"/>
      <c r="E510" s="56"/>
      <c r="F510" s="57"/>
      <c r="G510" s="56"/>
    </row>
    <row r="511">
      <c r="B511" s="8" t="b">
        <v>0</v>
      </c>
      <c r="C511" s="55"/>
      <c r="D511" s="56"/>
      <c r="E511" s="56"/>
      <c r="F511" s="57"/>
      <c r="G511" s="56"/>
    </row>
    <row r="512">
      <c r="B512" s="8" t="b">
        <v>0</v>
      </c>
      <c r="C512" s="55"/>
      <c r="D512" s="56"/>
      <c r="E512" s="56"/>
      <c r="F512" s="57"/>
      <c r="G512" s="56"/>
    </row>
    <row r="513">
      <c r="B513" s="8" t="b">
        <v>0</v>
      </c>
      <c r="C513" s="55"/>
      <c r="D513" s="56"/>
      <c r="E513" s="56"/>
      <c r="F513" s="57"/>
      <c r="G513" s="56"/>
    </row>
    <row r="514">
      <c r="B514" s="8" t="b">
        <v>0</v>
      </c>
      <c r="C514" s="55"/>
      <c r="D514" s="56"/>
      <c r="E514" s="56"/>
      <c r="F514" s="57"/>
      <c r="G514" s="56"/>
    </row>
    <row r="515">
      <c r="B515" s="8" t="b">
        <v>0</v>
      </c>
      <c r="C515" s="55"/>
      <c r="D515" s="56"/>
      <c r="E515" s="56"/>
      <c r="F515" s="57"/>
      <c r="G515" s="56"/>
    </row>
    <row r="516">
      <c r="B516" s="8" t="b">
        <v>0</v>
      </c>
      <c r="C516" s="55"/>
      <c r="D516" s="56"/>
      <c r="E516" s="56"/>
      <c r="F516" s="57"/>
      <c r="G516" s="56"/>
    </row>
    <row r="517">
      <c r="B517" s="8" t="b">
        <v>0</v>
      </c>
      <c r="C517" s="55"/>
      <c r="D517" s="56"/>
      <c r="E517" s="56"/>
      <c r="F517" s="57"/>
      <c r="G517" s="56"/>
    </row>
    <row r="518">
      <c r="B518" s="8" t="b">
        <v>0</v>
      </c>
      <c r="C518" s="55"/>
      <c r="D518" s="56"/>
      <c r="E518" s="56"/>
      <c r="F518" s="57"/>
      <c r="G518" s="56"/>
    </row>
    <row r="519">
      <c r="B519" s="8" t="b">
        <v>0</v>
      </c>
      <c r="C519" s="55"/>
      <c r="D519" s="56"/>
      <c r="E519" s="56"/>
      <c r="F519" s="57"/>
      <c r="G519" s="56"/>
    </row>
    <row r="520">
      <c r="B520" s="8" t="b">
        <v>0</v>
      </c>
      <c r="C520" s="55"/>
      <c r="D520" s="56"/>
      <c r="E520" s="56"/>
      <c r="F520" s="57"/>
      <c r="G520" s="56"/>
    </row>
    <row r="521">
      <c r="B521" s="8" t="b">
        <v>0</v>
      </c>
      <c r="C521" s="55"/>
      <c r="D521" s="56"/>
      <c r="E521" s="56"/>
      <c r="F521" s="57"/>
      <c r="G521" s="56"/>
    </row>
    <row r="522">
      <c r="B522" s="8" t="b">
        <v>0</v>
      </c>
      <c r="C522" s="55"/>
      <c r="D522" s="56"/>
      <c r="E522" s="56"/>
      <c r="F522" s="57"/>
      <c r="G522" s="56"/>
    </row>
    <row r="523">
      <c r="B523" s="8" t="b">
        <v>0</v>
      </c>
      <c r="C523" s="55"/>
      <c r="D523" s="56"/>
      <c r="E523" s="56"/>
      <c r="F523" s="57"/>
      <c r="G523" s="56"/>
    </row>
    <row r="524">
      <c r="B524" s="8" t="b">
        <v>0</v>
      </c>
      <c r="C524" s="55"/>
      <c r="D524" s="56"/>
      <c r="E524" s="56"/>
      <c r="F524" s="57"/>
      <c r="G524" s="56"/>
    </row>
    <row r="525">
      <c r="B525" s="8" t="b">
        <v>0</v>
      </c>
      <c r="C525" s="55"/>
      <c r="D525" s="56"/>
      <c r="E525" s="56"/>
      <c r="F525" s="57"/>
      <c r="G525" s="56"/>
    </row>
    <row r="526">
      <c r="B526" s="8" t="b">
        <v>0</v>
      </c>
      <c r="C526" s="55"/>
      <c r="D526" s="56"/>
      <c r="E526" s="56"/>
      <c r="F526" s="57"/>
      <c r="G526" s="56"/>
    </row>
    <row r="527">
      <c r="B527" s="8" t="b">
        <v>0</v>
      </c>
      <c r="C527" s="55"/>
      <c r="D527" s="56"/>
      <c r="E527" s="56"/>
      <c r="F527" s="57"/>
      <c r="G527" s="56"/>
    </row>
    <row r="528">
      <c r="B528" s="8" t="b">
        <v>0</v>
      </c>
      <c r="C528" s="55"/>
      <c r="D528" s="56"/>
      <c r="E528" s="56"/>
      <c r="F528" s="57"/>
      <c r="G528" s="56"/>
    </row>
    <row r="529">
      <c r="B529" s="8" t="b">
        <v>0</v>
      </c>
      <c r="C529" s="55"/>
      <c r="D529" s="56"/>
      <c r="E529" s="56"/>
      <c r="F529" s="57"/>
      <c r="G529" s="56"/>
    </row>
    <row r="530">
      <c r="B530" s="8" t="b">
        <v>0</v>
      </c>
      <c r="C530" s="55"/>
      <c r="D530" s="56"/>
      <c r="E530" s="56"/>
      <c r="F530" s="57"/>
      <c r="G530" s="56"/>
    </row>
    <row r="531">
      <c r="B531" s="8" t="b">
        <v>0</v>
      </c>
      <c r="C531" s="55"/>
      <c r="D531" s="56"/>
      <c r="E531" s="56"/>
      <c r="F531" s="57"/>
      <c r="G531" s="56"/>
    </row>
    <row r="532">
      <c r="B532" s="8" t="b">
        <v>0</v>
      </c>
      <c r="C532" s="55"/>
      <c r="D532" s="56"/>
      <c r="E532" s="56"/>
      <c r="F532" s="57"/>
      <c r="G532" s="56"/>
    </row>
    <row r="533">
      <c r="B533" s="8" t="b">
        <v>0</v>
      </c>
      <c r="C533" s="55"/>
      <c r="D533" s="56"/>
      <c r="E533" s="56"/>
      <c r="F533" s="57"/>
      <c r="G533" s="56"/>
    </row>
    <row r="534">
      <c r="B534" s="8" t="b">
        <v>0</v>
      </c>
      <c r="C534" s="55"/>
      <c r="D534" s="56"/>
      <c r="E534" s="56"/>
      <c r="F534" s="57"/>
      <c r="G534" s="56"/>
    </row>
    <row r="535">
      <c r="B535" s="8" t="b">
        <v>0</v>
      </c>
      <c r="C535" s="55"/>
      <c r="D535" s="56"/>
      <c r="E535" s="56"/>
      <c r="F535" s="57"/>
      <c r="G535" s="56"/>
    </row>
    <row r="536">
      <c r="B536" s="8" t="b">
        <v>0</v>
      </c>
      <c r="C536" s="55"/>
      <c r="D536" s="56"/>
      <c r="E536" s="56"/>
      <c r="F536" s="57"/>
      <c r="G536" s="56"/>
    </row>
    <row r="537">
      <c r="B537" s="8" t="b">
        <v>0</v>
      </c>
      <c r="C537" s="55"/>
      <c r="D537" s="56"/>
      <c r="E537" s="56"/>
      <c r="F537" s="57"/>
      <c r="G537" s="56"/>
    </row>
    <row r="538">
      <c r="B538" s="8" t="b">
        <v>0</v>
      </c>
      <c r="C538" s="55"/>
      <c r="D538" s="56"/>
      <c r="E538" s="56"/>
      <c r="F538" s="57"/>
      <c r="G538" s="56"/>
    </row>
    <row r="539">
      <c r="B539" s="8" t="b">
        <v>0</v>
      </c>
      <c r="C539" s="55"/>
      <c r="D539" s="56"/>
      <c r="E539" s="56"/>
      <c r="F539" s="57"/>
      <c r="G539" s="56"/>
    </row>
    <row r="540">
      <c r="B540" s="8" t="b">
        <v>0</v>
      </c>
      <c r="C540" s="55"/>
      <c r="D540" s="56"/>
      <c r="E540" s="56"/>
      <c r="F540" s="57"/>
      <c r="G540" s="56"/>
    </row>
    <row r="541">
      <c r="B541" s="8" t="b">
        <v>0</v>
      </c>
      <c r="C541" s="55"/>
      <c r="D541" s="56"/>
      <c r="E541" s="56"/>
      <c r="F541" s="57"/>
      <c r="G541" s="56"/>
    </row>
    <row r="542">
      <c r="B542" s="8" t="b">
        <v>0</v>
      </c>
      <c r="C542" s="55"/>
      <c r="D542" s="56"/>
      <c r="E542" s="56"/>
      <c r="F542" s="57"/>
      <c r="G542" s="56"/>
    </row>
    <row r="543">
      <c r="B543" s="8" t="b">
        <v>0</v>
      </c>
      <c r="C543" s="55"/>
      <c r="D543" s="56"/>
      <c r="E543" s="56"/>
      <c r="F543" s="57"/>
      <c r="G543" s="56"/>
    </row>
    <row r="544">
      <c r="B544" s="8" t="b">
        <v>0</v>
      </c>
      <c r="C544" s="55"/>
      <c r="D544" s="56"/>
      <c r="E544" s="56"/>
      <c r="F544" s="57"/>
      <c r="G544" s="56"/>
    </row>
    <row r="545">
      <c r="B545" s="8" t="b">
        <v>0</v>
      </c>
      <c r="C545" s="55"/>
      <c r="D545" s="56"/>
      <c r="E545" s="56"/>
      <c r="F545" s="57"/>
      <c r="G545" s="56"/>
    </row>
    <row r="546">
      <c r="B546" s="8" t="b">
        <v>0</v>
      </c>
      <c r="C546" s="55"/>
      <c r="D546" s="56"/>
      <c r="E546" s="56"/>
      <c r="F546" s="57"/>
      <c r="G546" s="56"/>
    </row>
    <row r="547">
      <c r="B547" s="8" t="b">
        <v>0</v>
      </c>
      <c r="C547" s="55"/>
      <c r="D547" s="56"/>
      <c r="E547" s="56"/>
      <c r="F547" s="57"/>
      <c r="G547" s="56"/>
    </row>
    <row r="548">
      <c r="B548" s="8" t="b">
        <v>0</v>
      </c>
      <c r="C548" s="55"/>
      <c r="D548" s="56"/>
      <c r="E548" s="56"/>
      <c r="F548" s="57"/>
      <c r="G548" s="56"/>
    </row>
    <row r="549">
      <c r="B549" s="8" t="b">
        <v>0</v>
      </c>
      <c r="C549" s="55"/>
      <c r="D549" s="56"/>
      <c r="E549" s="56"/>
      <c r="F549" s="57"/>
      <c r="G549" s="56"/>
    </row>
    <row r="550">
      <c r="B550" s="8" t="b">
        <v>0</v>
      </c>
      <c r="C550" s="55"/>
      <c r="D550" s="56"/>
      <c r="E550" s="56"/>
      <c r="F550" s="57"/>
      <c r="G550" s="56"/>
    </row>
    <row r="551">
      <c r="B551" s="8" t="b">
        <v>0</v>
      </c>
      <c r="C551" s="55"/>
      <c r="D551" s="56"/>
      <c r="E551" s="56"/>
      <c r="F551" s="57"/>
      <c r="G551" s="56"/>
    </row>
    <row r="552">
      <c r="B552" s="8" t="b">
        <v>0</v>
      </c>
      <c r="C552" s="55"/>
      <c r="D552" s="56"/>
      <c r="E552" s="56"/>
      <c r="F552" s="57"/>
      <c r="G552" s="56"/>
    </row>
    <row r="553">
      <c r="B553" s="8" t="b">
        <v>0</v>
      </c>
      <c r="C553" s="55"/>
      <c r="D553" s="56"/>
      <c r="E553" s="56"/>
      <c r="F553" s="57"/>
      <c r="G553" s="56"/>
    </row>
    <row r="554">
      <c r="B554" s="8" t="b">
        <v>0</v>
      </c>
      <c r="C554" s="55"/>
      <c r="D554" s="56"/>
      <c r="E554" s="56"/>
      <c r="F554" s="57"/>
      <c r="G554" s="56"/>
    </row>
    <row r="555">
      <c r="B555" s="8" t="b">
        <v>0</v>
      </c>
      <c r="C555" s="55"/>
      <c r="D555" s="56"/>
      <c r="E555" s="56"/>
      <c r="F555" s="57"/>
      <c r="G555" s="56"/>
    </row>
    <row r="556">
      <c r="B556" s="8" t="b">
        <v>0</v>
      </c>
      <c r="C556" s="55"/>
      <c r="D556" s="56"/>
      <c r="E556" s="56"/>
      <c r="F556" s="57"/>
      <c r="G556" s="56"/>
    </row>
    <row r="557">
      <c r="B557" s="8" t="b">
        <v>0</v>
      </c>
      <c r="C557" s="55"/>
      <c r="D557" s="56"/>
      <c r="E557" s="56"/>
      <c r="F557" s="57"/>
      <c r="G557" s="56"/>
    </row>
    <row r="558">
      <c r="B558" s="8" t="b">
        <v>0</v>
      </c>
      <c r="C558" s="55"/>
      <c r="D558" s="56"/>
      <c r="E558" s="56"/>
      <c r="F558" s="57"/>
      <c r="G558" s="56"/>
    </row>
    <row r="559">
      <c r="B559" s="8" t="b">
        <v>0</v>
      </c>
      <c r="C559" s="55"/>
      <c r="D559" s="56"/>
      <c r="E559" s="56"/>
      <c r="F559" s="57"/>
      <c r="G559" s="56"/>
    </row>
    <row r="560">
      <c r="B560" s="8" t="b">
        <v>0</v>
      </c>
      <c r="C560" s="55"/>
      <c r="D560" s="56"/>
      <c r="E560" s="56"/>
      <c r="F560" s="57"/>
      <c r="G560" s="56"/>
    </row>
    <row r="561">
      <c r="B561" s="8" t="b">
        <v>0</v>
      </c>
      <c r="C561" s="55"/>
      <c r="D561" s="56"/>
      <c r="E561" s="56"/>
      <c r="F561" s="57"/>
      <c r="G561" s="56"/>
    </row>
    <row r="562">
      <c r="B562" s="8" t="b">
        <v>0</v>
      </c>
      <c r="C562" s="55"/>
      <c r="D562" s="56"/>
      <c r="E562" s="56"/>
      <c r="F562" s="57"/>
      <c r="G562" s="56"/>
    </row>
    <row r="563">
      <c r="B563" s="8" t="b">
        <v>0</v>
      </c>
      <c r="C563" s="55"/>
      <c r="D563" s="56"/>
      <c r="E563" s="56"/>
      <c r="F563" s="57"/>
      <c r="G563" s="56"/>
    </row>
    <row r="564">
      <c r="B564" s="8" t="b">
        <v>0</v>
      </c>
      <c r="C564" s="55"/>
      <c r="D564" s="56"/>
      <c r="E564" s="56"/>
      <c r="F564" s="57"/>
      <c r="G564" s="56"/>
    </row>
    <row r="565">
      <c r="B565" s="8" t="b">
        <v>0</v>
      </c>
      <c r="C565" s="55"/>
      <c r="D565" s="56"/>
      <c r="E565" s="56"/>
      <c r="F565" s="57"/>
      <c r="G565" s="56"/>
    </row>
    <row r="566">
      <c r="B566" s="8" t="b">
        <v>0</v>
      </c>
      <c r="C566" s="55"/>
      <c r="D566" s="56"/>
      <c r="E566" s="56"/>
      <c r="F566" s="57"/>
      <c r="G566" s="56"/>
    </row>
    <row r="567">
      <c r="B567" s="8" t="b">
        <v>0</v>
      </c>
      <c r="C567" s="55"/>
      <c r="D567" s="56"/>
      <c r="E567" s="56"/>
      <c r="F567" s="57"/>
      <c r="G567" s="56"/>
    </row>
    <row r="568">
      <c r="B568" s="8" t="b">
        <v>0</v>
      </c>
      <c r="C568" s="55"/>
      <c r="D568" s="56"/>
      <c r="E568" s="56"/>
      <c r="F568" s="57"/>
      <c r="G568" s="56"/>
    </row>
    <row r="569">
      <c r="B569" s="8" t="b">
        <v>0</v>
      </c>
      <c r="C569" s="55"/>
      <c r="D569" s="56"/>
      <c r="E569" s="56"/>
      <c r="F569" s="57"/>
      <c r="G569" s="56"/>
    </row>
    <row r="570">
      <c r="B570" s="8" t="b">
        <v>0</v>
      </c>
      <c r="C570" s="55"/>
      <c r="D570" s="56"/>
      <c r="E570" s="56"/>
      <c r="F570" s="57"/>
      <c r="G570" s="56"/>
    </row>
    <row r="571">
      <c r="B571" s="8" t="b">
        <v>0</v>
      </c>
      <c r="C571" s="55"/>
      <c r="D571" s="56"/>
      <c r="E571" s="56"/>
      <c r="F571" s="57"/>
      <c r="G571" s="56"/>
    </row>
    <row r="572">
      <c r="B572" s="8" t="b">
        <v>0</v>
      </c>
      <c r="C572" s="55"/>
      <c r="D572" s="56"/>
      <c r="E572" s="56"/>
      <c r="F572" s="57"/>
      <c r="G572" s="56"/>
    </row>
    <row r="573">
      <c r="B573" s="8" t="b">
        <v>0</v>
      </c>
      <c r="C573" s="55"/>
      <c r="D573" s="56"/>
      <c r="E573" s="56"/>
      <c r="F573" s="57"/>
      <c r="G573" s="56"/>
    </row>
    <row r="574">
      <c r="B574" s="8" t="b">
        <v>0</v>
      </c>
      <c r="C574" s="55"/>
      <c r="D574" s="56"/>
      <c r="E574" s="56"/>
      <c r="F574" s="57"/>
      <c r="G574" s="56"/>
    </row>
    <row r="575">
      <c r="B575" s="8" t="b">
        <v>0</v>
      </c>
      <c r="C575" s="55"/>
      <c r="D575" s="56"/>
      <c r="E575" s="56"/>
      <c r="F575" s="57"/>
      <c r="G575" s="56"/>
    </row>
    <row r="576">
      <c r="B576" s="8" t="b">
        <v>0</v>
      </c>
      <c r="C576" s="55"/>
      <c r="D576" s="56"/>
      <c r="E576" s="56"/>
      <c r="F576" s="57"/>
      <c r="G576" s="56"/>
    </row>
    <row r="577">
      <c r="B577" s="8" t="b">
        <v>0</v>
      </c>
      <c r="C577" s="55"/>
      <c r="D577" s="56"/>
      <c r="E577" s="56"/>
      <c r="F577" s="57"/>
      <c r="G577" s="56"/>
    </row>
    <row r="578">
      <c r="B578" s="8" t="b">
        <v>0</v>
      </c>
      <c r="C578" s="55"/>
      <c r="D578" s="56"/>
      <c r="E578" s="56"/>
      <c r="F578" s="57"/>
      <c r="G578" s="56"/>
    </row>
    <row r="579">
      <c r="B579" s="8" t="b">
        <v>0</v>
      </c>
      <c r="C579" s="55"/>
      <c r="D579" s="56"/>
      <c r="E579" s="56"/>
      <c r="F579" s="57"/>
      <c r="G579" s="56"/>
    </row>
    <row r="580">
      <c r="B580" s="8" t="b">
        <v>0</v>
      </c>
      <c r="C580" s="55"/>
      <c r="D580" s="56"/>
      <c r="E580" s="56"/>
      <c r="F580" s="57"/>
      <c r="G580" s="56"/>
    </row>
    <row r="581">
      <c r="B581" s="8" t="b">
        <v>0</v>
      </c>
      <c r="C581" s="55"/>
      <c r="D581" s="56"/>
      <c r="E581" s="56"/>
      <c r="F581" s="57"/>
      <c r="G581" s="56"/>
    </row>
    <row r="582">
      <c r="B582" s="8" t="b">
        <v>0</v>
      </c>
      <c r="C582" s="55"/>
      <c r="D582" s="56"/>
      <c r="E582" s="56"/>
      <c r="F582" s="57"/>
      <c r="G582" s="56"/>
    </row>
    <row r="583">
      <c r="B583" s="8" t="b">
        <v>0</v>
      </c>
      <c r="C583" s="55"/>
      <c r="D583" s="56"/>
      <c r="E583" s="56"/>
      <c r="F583" s="57"/>
      <c r="G583" s="56"/>
    </row>
    <row r="584">
      <c r="B584" s="8" t="b">
        <v>0</v>
      </c>
      <c r="C584" s="55"/>
      <c r="D584" s="56"/>
      <c r="E584" s="56"/>
      <c r="F584" s="57"/>
      <c r="G584" s="56"/>
    </row>
    <row r="585">
      <c r="B585" s="8" t="b">
        <v>0</v>
      </c>
      <c r="C585" s="55"/>
      <c r="D585" s="56"/>
      <c r="E585" s="56"/>
      <c r="F585" s="57"/>
      <c r="G585" s="56"/>
    </row>
    <row r="586">
      <c r="B586" s="8" t="b">
        <v>0</v>
      </c>
      <c r="C586" s="55"/>
      <c r="D586" s="56"/>
      <c r="E586" s="56"/>
      <c r="F586" s="57"/>
      <c r="G586" s="56"/>
    </row>
    <row r="587">
      <c r="B587" s="8" t="b">
        <v>0</v>
      </c>
      <c r="C587" s="55"/>
      <c r="D587" s="56"/>
      <c r="E587" s="56"/>
      <c r="F587" s="57"/>
      <c r="G587" s="56"/>
    </row>
    <row r="588">
      <c r="B588" s="8" t="b">
        <v>0</v>
      </c>
      <c r="C588" s="55"/>
      <c r="D588" s="56"/>
      <c r="E588" s="56"/>
      <c r="F588" s="57"/>
      <c r="G588" s="56"/>
    </row>
    <row r="589">
      <c r="B589" s="8" t="b">
        <v>0</v>
      </c>
      <c r="C589" s="55"/>
      <c r="D589" s="56"/>
      <c r="E589" s="56"/>
      <c r="F589" s="57"/>
      <c r="G589" s="56"/>
    </row>
    <row r="590">
      <c r="B590" s="8" t="b">
        <v>0</v>
      </c>
      <c r="C590" s="55"/>
      <c r="D590" s="56"/>
      <c r="E590" s="56"/>
      <c r="F590" s="57"/>
      <c r="G590" s="56"/>
    </row>
    <row r="591">
      <c r="B591" s="8" t="b">
        <v>0</v>
      </c>
      <c r="C591" s="55"/>
      <c r="D591" s="56"/>
      <c r="E591" s="56"/>
      <c r="F591" s="57"/>
      <c r="G591" s="56"/>
    </row>
    <row r="592">
      <c r="B592" s="8" t="b">
        <v>0</v>
      </c>
      <c r="C592" s="55"/>
      <c r="D592" s="56"/>
      <c r="E592" s="56"/>
      <c r="F592" s="57"/>
      <c r="G592" s="56"/>
    </row>
    <row r="593">
      <c r="B593" s="8" t="b">
        <v>0</v>
      </c>
      <c r="C593" s="55"/>
      <c r="D593" s="56"/>
      <c r="E593" s="56"/>
      <c r="F593" s="57"/>
      <c r="G593" s="56"/>
    </row>
    <row r="594">
      <c r="B594" s="8" t="b">
        <v>0</v>
      </c>
      <c r="C594" s="55"/>
      <c r="D594" s="56"/>
      <c r="E594" s="56"/>
      <c r="F594" s="57"/>
      <c r="G594" s="56"/>
    </row>
    <row r="595">
      <c r="B595" s="8" t="b">
        <v>0</v>
      </c>
      <c r="C595" s="55"/>
      <c r="D595" s="56"/>
      <c r="E595" s="56"/>
      <c r="F595" s="57"/>
      <c r="G595" s="56"/>
    </row>
    <row r="596">
      <c r="B596" s="8" t="b">
        <v>0</v>
      </c>
      <c r="C596" s="55"/>
      <c r="D596" s="56"/>
      <c r="E596" s="56"/>
      <c r="F596" s="57"/>
      <c r="G596" s="56"/>
    </row>
    <row r="597">
      <c r="B597" s="8" t="b">
        <v>0</v>
      </c>
      <c r="C597" s="55"/>
      <c r="D597" s="56"/>
      <c r="E597" s="56"/>
      <c r="F597" s="57"/>
      <c r="G597" s="56"/>
    </row>
    <row r="598">
      <c r="B598" s="8" t="b">
        <v>0</v>
      </c>
      <c r="C598" s="55"/>
      <c r="D598" s="56"/>
      <c r="E598" s="56"/>
      <c r="F598" s="57"/>
      <c r="G598" s="56"/>
    </row>
    <row r="599">
      <c r="B599" s="8" t="b">
        <v>0</v>
      </c>
      <c r="C599" s="55"/>
      <c r="D599" s="56"/>
      <c r="E599" s="56"/>
      <c r="F599" s="57"/>
      <c r="G599" s="56"/>
    </row>
    <row r="600">
      <c r="B600" s="8" t="b">
        <v>0</v>
      </c>
      <c r="C600" s="55"/>
      <c r="D600" s="56"/>
      <c r="E600" s="56"/>
      <c r="F600" s="57"/>
      <c r="G600" s="56"/>
    </row>
    <row r="601">
      <c r="B601" s="8" t="b">
        <v>0</v>
      </c>
      <c r="C601" s="55"/>
      <c r="D601" s="56"/>
      <c r="E601" s="56"/>
      <c r="F601" s="57"/>
      <c r="G601" s="56"/>
    </row>
    <row r="602">
      <c r="B602" s="8" t="b">
        <v>0</v>
      </c>
      <c r="C602" s="55"/>
      <c r="D602" s="56"/>
      <c r="E602" s="56"/>
      <c r="F602" s="57"/>
      <c r="G602" s="56"/>
    </row>
    <row r="603">
      <c r="B603" s="8" t="b">
        <v>0</v>
      </c>
      <c r="C603" s="55"/>
      <c r="D603" s="56"/>
      <c r="E603" s="56"/>
      <c r="F603" s="57"/>
      <c r="G603" s="56"/>
    </row>
    <row r="604">
      <c r="B604" s="8" t="b">
        <v>0</v>
      </c>
      <c r="C604" s="55"/>
      <c r="D604" s="56"/>
      <c r="E604" s="56"/>
      <c r="F604" s="57"/>
      <c r="G604" s="56"/>
    </row>
    <row r="605">
      <c r="B605" s="8" t="b">
        <v>0</v>
      </c>
      <c r="C605" s="55"/>
      <c r="D605" s="56"/>
      <c r="E605" s="56"/>
      <c r="F605" s="57"/>
      <c r="G605" s="56"/>
    </row>
    <row r="606">
      <c r="B606" s="8" t="b">
        <v>0</v>
      </c>
      <c r="C606" s="55"/>
      <c r="D606" s="56"/>
      <c r="E606" s="56"/>
      <c r="F606" s="57"/>
      <c r="G606" s="56"/>
    </row>
    <row r="607">
      <c r="B607" s="8" t="b">
        <v>0</v>
      </c>
      <c r="C607" s="55"/>
      <c r="D607" s="56"/>
      <c r="E607" s="56"/>
      <c r="F607" s="57"/>
      <c r="G607" s="56"/>
    </row>
    <row r="608">
      <c r="B608" s="8" t="b">
        <v>0</v>
      </c>
      <c r="C608" s="55"/>
      <c r="D608" s="56"/>
      <c r="E608" s="56"/>
      <c r="F608" s="57"/>
      <c r="G608" s="56"/>
    </row>
    <row r="609">
      <c r="B609" s="8" t="b">
        <v>0</v>
      </c>
      <c r="C609" s="55"/>
      <c r="D609" s="56"/>
      <c r="E609" s="56"/>
      <c r="F609" s="57"/>
      <c r="G609" s="56"/>
    </row>
    <row r="610">
      <c r="B610" s="8" t="b">
        <v>0</v>
      </c>
      <c r="C610" s="55"/>
      <c r="D610" s="56"/>
      <c r="E610" s="56"/>
      <c r="F610" s="57"/>
      <c r="G610" s="56"/>
    </row>
    <row r="611">
      <c r="B611" s="8" t="b">
        <v>0</v>
      </c>
      <c r="C611" s="55"/>
      <c r="D611" s="56"/>
      <c r="E611" s="56"/>
      <c r="F611" s="57"/>
      <c r="G611" s="56"/>
    </row>
    <row r="612">
      <c r="B612" s="8" t="b">
        <v>0</v>
      </c>
      <c r="C612" s="55"/>
      <c r="D612" s="56"/>
      <c r="E612" s="56"/>
      <c r="F612" s="57"/>
      <c r="G612" s="56"/>
    </row>
    <row r="613">
      <c r="B613" s="8" t="b">
        <v>0</v>
      </c>
      <c r="C613" s="55"/>
      <c r="D613" s="56"/>
      <c r="E613" s="56"/>
      <c r="F613" s="57"/>
      <c r="G613" s="56"/>
    </row>
    <row r="614">
      <c r="B614" s="8" t="b">
        <v>0</v>
      </c>
      <c r="C614" s="55"/>
      <c r="D614" s="56"/>
      <c r="E614" s="56"/>
      <c r="F614" s="57"/>
      <c r="G614" s="56"/>
    </row>
    <row r="615">
      <c r="B615" s="8" t="b">
        <v>0</v>
      </c>
      <c r="C615" s="55"/>
      <c r="D615" s="56"/>
      <c r="E615" s="56"/>
      <c r="F615" s="57"/>
      <c r="G615" s="56"/>
    </row>
    <row r="616">
      <c r="B616" s="8" t="b">
        <v>0</v>
      </c>
      <c r="C616" s="55"/>
      <c r="D616" s="56"/>
      <c r="E616" s="56"/>
      <c r="F616" s="57"/>
      <c r="G616" s="56"/>
    </row>
    <row r="617">
      <c r="B617" s="8" t="b">
        <v>0</v>
      </c>
      <c r="C617" s="55"/>
      <c r="D617" s="56"/>
      <c r="E617" s="56"/>
      <c r="F617" s="57"/>
      <c r="G617" s="56"/>
    </row>
    <row r="618">
      <c r="B618" s="8" t="b">
        <v>0</v>
      </c>
      <c r="C618" s="55"/>
      <c r="D618" s="56"/>
      <c r="E618" s="56"/>
      <c r="F618" s="57"/>
      <c r="G618" s="56"/>
    </row>
    <row r="619">
      <c r="B619" s="8" t="b">
        <v>0</v>
      </c>
      <c r="C619" s="55"/>
      <c r="D619" s="56"/>
      <c r="E619" s="56"/>
      <c r="F619" s="57"/>
      <c r="G619" s="56"/>
    </row>
    <row r="620">
      <c r="B620" s="8" t="b">
        <v>0</v>
      </c>
      <c r="C620" s="55"/>
      <c r="D620" s="56"/>
      <c r="E620" s="56"/>
      <c r="F620" s="57"/>
      <c r="G620" s="56"/>
    </row>
    <row r="621">
      <c r="B621" s="8" t="b">
        <v>0</v>
      </c>
      <c r="C621" s="55"/>
      <c r="D621" s="56"/>
      <c r="E621" s="56"/>
      <c r="F621" s="57"/>
      <c r="G621" s="56"/>
    </row>
    <row r="622">
      <c r="B622" s="8" t="b">
        <v>0</v>
      </c>
      <c r="C622" s="55"/>
      <c r="D622" s="56"/>
      <c r="E622" s="56"/>
      <c r="F622" s="57"/>
      <c r="G622" s="56"/>
    </row>
    <row r="623">
      <c r="B623" s="8" t="b">
        <v>0</v>
      </c>
      <c r="C623" s="55"/>
      <c r="D623" s="56"/>
      <c r="E623" s="56"/>
      <c r="F623" s="57"/>
      <c r="G623" s="56"/>
    </row>
    <row r="624">
      <c r="B624" s="8" t="b">
        <v>0</v>
      </c>
      <c r="C624" s="55"/>
      <c r="D624" s="56"/>
      <c r="E624" s="56"/>
      <c r="F624" s="57"/>
      <c r="G624" s="56"/>
    </row>
    <row r="625">
      <c r="B625" s="8" t="b">
        <v>0</v>
      </c>
      <c r="C625" s="55"/>
      <c r="D625" s="56"/>
      <c r="E625" s="56"/>
      <c r="F625" s="57"/>
      <c r="G625" s="56"/>
    </row>
    <row r="626">
      <c r="B626" s="8" t="b">
        <v>0</v>
      </c>
      <c r="C626" s="55"/>
      <c r="D626" s="56"/>
      <c r="E626" s="56"/>
      <c r="F626" s="57"/>
      <c r="G626" s="56"/>
    </row>
    <row r="627">
      <c r="B627" s="8" t="b">
        <v>0</v>
      </c>
      <c r="C627" s="55"/>
      <c r="D627" s="56"/>
      <c r="E627" s="56"/>
      <c r="F627" s="57"/>
      <c r="G627" s="56"/>
    </row>
    <row r="628">
      <c r="B628" s="8" t="b">
        <v>0</v>
      </c>
      <c r="C628" s="55"/>
      <c r="D628" s="56"/>
      <c r="E628" s="56"/>
      <c r="F628" s="57"/>
      <c r="G628" s="56"/>
    </row>
    <row r="629">
      <c r="B629" s="8" t="b">
        <v>0</v>
      </c>
      <c r="C629" s="55"/>
      <c r="D629" s="56"/>
      <c r="E629" s="56"/>
      <c r="F629" s="57"/>
      <c r="G629" s="56"/>
    </row>
    <row r="630">
      <c r="B630" s="8" t="b">
        <v>0</v>
      </c>
      <c r="C630" s="55"/>
      <c r="D630" s="56"/>
      <c r="E630" s="56"/>
      <c r="F630" s="57"/>
      <c r="G630" s="56"/>
    </row>
    <row r="631">
      <c r="B631" s="8" t="b">
        <v>0</v>
      </c>
      <c r="C631" s="55"/>
      <c r="D631" s="56"/>
      <c r="E631" s="56"/>
      <c r="F631" s="57"/>
      <c r="G631" s="56"/>
    </row>
    <row r="632">
      <c r="B632" s="8" t="b">
        <v>0</v>
      </c>
      <c r="C632" s="55"/>
      <c r="D632" s="56"/>
      <c r="E632" s="56"/>
      <c r="F632" s="57"/>
      <c r="G632" s="56"/>
    </row>
    <row r="633">
      <c r="B633" s="8" t="b">
        <v>0</v>
      </c>
      <c r="C633" s="55"/>
      <c r="D633" s="56"/>
      <c r="E633" s="56"/>
      <c r="F633" s="57"/>
      <c r="G633" s="56"/>
    </row>
    <row r="634">
      <c r="B634" s="8" t="b">
        <v>0</v>
      </c>
      <c r="C634" s="55"/>
      <c r="D634" s="56"/>
      <c r="E634" s="56"/>
      <c r="F634" s="57"/>
      <c r="G634" s="56"/>
    </row>
    <row r="635">
      <c r="B635" s="8" t="b">
        <v>0</v>
      </c>
      <c r="C635" s="55"/>
      <c r="D635" s="56"/>
      <c r="E635" s="56"/>
      <c r="F635" s="57"/>
      <c r="G635" s="56"/>
    </row>
    <row r="636">
      <c r="B636" s="8" t="b">
        <v>0</v>
      </c>
      <c r="C636" s="55"/>
      <c r="D636" s="56"/>
      <c r="E636" s="56"/>
      <c r="F636" s="57"/>
      <c r="G636" s="56"/>
    </row>
    <row r="637">
      <c r="B637" s="8" t="b">
        <v>0</v>
      </c>
      <c r="C637" s="55"/>
      <c r="D637" s="56"/>
      <c r="E637" s="56"/>
      <c r="F637" s="57"/>
      <c r="G637" s="56"/>
    </row>
    <row r="638">
      <c r="B638" s="8" t="b">
        <v>0</v>
      </c>
      <c r="C638" s="55"/>
      <c r="D638" s="56"/>
      <c r="E638" s="56"/>
      <c r="F638" s="57"/>
      <c r="G638" s="56"/>
    </row>
    <row r="639">
      <c r="B639" s="8" t="b">
        <v>0</v>
      </c>
      <c r="C639" s="55"/>
      <c r="D639" s="56"/>
      <c r="E639" s="56"/>
      <c r="F639" s="57"/>
      <c r="G639" s="56"/>
    </row>
    <row r="640">
      <c r="B640" s="8" t="b">
        <v>0</v>
      </c>
      <c r="C640" s="55"/>
      <c r="D640" s="56"/>
      <c r="E640" s="56"/>
      <c r="F640" s="57"/>
      <c r="G640" s="56"/>
    </row>
    <row r="641">
      <c r="B641" s="8" t="b">
        <v>0</v>
      </c>
      <c r="C641" s="55"/>
      <c r="D641" s="56"/>
      <c r="E641" s="56"/>
      <c r="F641" s="57"/>
      <c r="G641" s="56"/>
    </row>
    <row r="642">
      <c r="B642" s="8" t="b">
        <v>0</v>
      </c>
      <c r="C642" s="55"/>
      <c r="D642" s="56"/>
      <c r="E642" s="56"/>
      <c r="F642" s="57"/>
      <c r="G642" s="56"/>
    </row>
    <row r="643">
      <c r="B643" s="8" t="b">
        <v>0</v>
      </c>
      <c r="C643" s="55"/>
      <c r="D643" s="56"/>
      <c r="E643" s="56"/>
      <c r="F643" s="57"/>
      <c r="G643" s="56"/>
    </row>
    <row r="644">
      <c r="B644" s="8" t="b">
        <v>0</v>
      </c>
      <c r="C644" s="55"/>
      <c r="D644" s="56"/>
      <c r="E644" s="56"/>
      <c r="F644" s="57"/>
      <c r="G644" s="56"/>
    </row>
    <row r="645">
      <c r="B645" s="8" t="b">
        <v>0</v>
      </c>
      <c r="C645" s="55"/>
      <c r="D645" s="56"/>
      <c r="E645" s="56"/>
      <c r="F645" s="57"/>
      <c r="G645" s="56"/>
    </row>
    <row r="646">
      <c r="B646" s="8" t="b">
        <v>0</v>
      </c>
      <c r="C646" s="55"/>
      <c r="D646" s="56"/>
      <c r="E646" s="56"/>
      <c r="F646" s="57"/>
      <c r="G646" s="56"/>
    </row>
    <row r="647">
      <c r="B647" s="8" t="b">
        <v>0</v>
      </c>
      <c r="C647" s="55"/>
      <c r="D647" s="56"/>
      <c r="E647" s="56"/>
      <c r="F647" s="57"/>
      <c r="G647" s="56"/>
    </row>
    <row r="648">
      <c r="B648" s="8" t="b">
        <v>0</v>
      </c>
      <c r="C648" s="55"/>
      <c r="D648" s="56"/>
      <c r="E648" s="56"/>
      <c r="F648" s="57"/>
      <c r="G648" s="56"/>
    </row>
    <row r="649">
      <c r="B649" s="8" t="b">
        <v>0</v>
      </c>
      <c r="C649" s="55"/>
      <c r="D649" s="56"/>
      <c r="E649" s="56"/>
      <c r="F649" s="57"/>
      <c r="G649" s="56"/>
    </row>
    <row r="650">
      <c r="B650" s="8" t="b">
        <v>0</v>
      </c>
      <c r="C650" s="55"/>
      <c r="D650" s="56"/>
      <c r="E650" s="56"/>
      <c r="F650" s="57"/>
      <c r="G650" s="56"/>
    </row>
    <row r="651">
      <c r="B651" s="8" t="b">
        <v>0</v>
      </c>
      <c r="C651" s="55"/>
      <c r="D651" s="56"/>
      <c r="E651" s="56"/>
      <c r="F651" s="57"/>
      <c r="G651" s="56"/>
    </row>
    <row r="652">
      <c r="B652" s="8" t="b">
        <v>0</v>
      </c>
      <c r="C652" s="55"/>
      <c r="D652" s="56"/>
      <c r="E652" s="56"/>
      <c r="F652" s="57"/>
      <c r="G652" s="56"/>
    </row>
    <row r="653">
      <c r="B653" s="8" t="b">
        <v>0</v>
      </c>
      <c r="C653" s="55"/>
      <c r="D653" s="56"/>
      <c r="E653" s="56"/>
      <c r="F653" s="57"/>
      <c r="G653" s="56"/>
    </row>
    <row r="654">
      <c r="B654" s="8" t="b">
        <v>0</v>
      </c>
      <c r="C654" s="55"/>
      <c r="D654" s="56"/>
      <c r="E654" s="56"/>
      <c r="F654" s="57"/>
      <c r="G654" s="56"/>
    </row>
    <row r="655">
      <c r="B655" s="8" t="b">
        <v>0</v>
      </c>
      <c r="C655" s="55"/>
      <c r="D655" s="56"/>
      <c r="E655" s="56"/>
      <c r="F655" s="57"/>
      <c r="G655" s="56"/>
    </row>
    <row r="656">
      <c r="B656" s="8" t="b">
        <v>0</v>
      </c>
      <c r="C656" s="55"/>
      <c r="D656" s="56"/>
      <c r="E656" s="56"/>
      <c r="F656" s="57"/>
      <c r="G656" s="56"/>
    </row>
    <row r="657">
      <c r="B657" s="8" t="b">
        <v>0</v>
      </c>
      <c r="C657" s="55"/>
      <c r="D657" s="56"/>
      <c r="E657" s="56"/>
      <c r="F657" s="57"/>
      <c r="G657" s="56"/>
    </row>
    <row r="658">
      <c r="B658" s="8" t="b">
        <v>0</v>
      </c>
      <c r="C658" s="55"/>
      <c r="D658" s="56"/>
      <c r="E658" s="56"/>
      <c r="F658" s="57"/>
      <c r="G658" s="56"/>
    </row>
    <row r="659">
      <c r="B659" s="8" t="b">
        <v>0</v>
      </c>
      <c r="C659" s="55"/>
      <c r="D659" s="56"/>
      <c r="E659" s="56"/>
      <c r="F659" s="57"/>
      <c r="G659" s="56"/>
    </row>
    <row r="660">
      <c r="B660" s="8" t="b">
        <v>0</v>
      </c>
      <c r="C660" s="55"/>
      <c r="D660" s="56"/>
      <c r="E660" s="56"/>
      <c r="F660" s="57"/>
      <c r="G660" s="56"/>
    </row>
    <row r="661">
      <c r="B661" s="8" t="b">
        <v>0</v>
      </c>
      <c r="C661" s="55"/>
      <c r="D661" s="56"/>
      <c r="E661" s="56"/>
      <c r="F661" s="57"/>
      <c r="G661" s="56"/>
    </row>
    <row r="662">
      <c r="B662" s="8" t="b">
        <v>0</v>
      </c>
      <c r="C662" s="55"/>
      <c r="D662" s="56"/>
      <c r="E662" s="56"/>
      <c r="F662" s="57"/>
      <c r="G662" s="56"/>
    </row>
    <row r="663">
      <c r="B663" s="8" t="b">
        <v>0</v>
      </c>
      <c r="C663" s="55"/>
      <c r="D663" s="56"/>
      <c r="E663" s="56"/>
      <c r="F663" s="57"/>
      <c r="G663" s="56"/>
    </row>
    <row r="664">
      <c r="B664" s="8" t="b">
        <v>0</v>
      </c>
      <c r="C664" s="55"/>
      <c r="D664" s="56"/>
      <c r="E664" s="56"/>
      <c r="F664" s="57"/>
      <c r="G664" s="56"/>
    </row>
    <row r="665">
      <c r="B665" s="8" t="b">
        <v>0</v>
      </c>
      <c r="C665" s="55"/>
      <c r="D665" s="56"/>
      <c r="E665" s="56"/>
      <c r="F665" s="57"/>
      <c r="G665" s="56"/>
    </row>
    <row r="666">
      <c r="B666" s="8" t="b">
        <v>0</v>
      </c>
      <c r="C666" s="55"/>
      <c r="D666" s="56"/>
      <c r="E666" s="56"/>
      <c r="F666" s="57"/>
      <c r="G666" s="56"/>
    </row>
    <row r="667">
      <c r="B667" s="8" t="b">
        <v>0</v>
      </c>
      <c r="C667" s="55"/>
      <c r="D667" s="56"/>
      <c r="E667" s="56"/>
      <c r="F667" s="57"/>
      <c r="G667" s="56"/>
    </row>
    <row r="668">
      <c r="B668" s="8" t="b">
        <v>0</v>
      </c>
      <c r="C668" s="55"/>
      <c r="D668" s="56"/>
      <c r="E668" s="56"/>
      <c r="F668" s="57"/>
      <c r="G668" s="56"/>
    </row>
    <row r="669">
      <c r="B669" s="8" t="b">
        <v>0</v>
      </c>
      <c r="C669" s="55"/>
      <c r="D669" s="56"/>
      <c r="E669" s="56"/>
      <c r="F669" s="57"/>
      <c r="G669" s="56"/>
    </row>
    <row r="670">
      <c r="B670" s="8" t="b">
        <v>0</v>
      </c>
      <c r="C670" s="55"/>
      <c r="D670" s="56"/>
      <c r="E670" s="56"/>
      <c r="F670" s="57"/>
      <c r="G670" s="56"/>
    </row>
    <row r="671">
      <c r="B671" s="8" t="b">
        <v>0</v>
      </c>
      <c r="C671" s="55"/>
      <c r="D671" s="56"/>
      <c r="E671" s="56"/>
      <c r="F671" s="57"/>
      <c r="G671" s="56"/>
    </row>
    <row r="672">
      <c r="B672" s="8" t="b">
        <v>0</v>
      </c>
      <c r="C672" s="55"/>
      <c r="D672" s="56"/>
      <c r="E672" s="56"/>
      <c r="F672" s="57"/>
      <c r="G672" s="56"/>
    </row>
    <row r="673">
      <c r="B673" s="8" t="b">
        <v>0</v>
      </c>
      <c r="C673" s="55"/>
      <c r="D673" s="56"/>
      <c r="E673" s="56"/>
      <c r="F673" s="57"/>
      <c r="G673" s="56"/>
    </row>
    <row r="674">
      <c r="B674" s="8" t="b">
        <v>0</v>
      </c>
      <c r="C674" s="55"/>
      <c r="D674" s="56"/>
      <c r="E674" s="56"/>
      <c r="F674" s="57"/>
      <c r="G674" s="56"/>
    </row>
    <row r="675">
      <c r="B675" s="8" t="b">
        <v>0</v>
      </c>
      <c r="C675" s="55"/>
      <c r="D675" s="56"/>
      <c r="E675" s="56"/>
      <c r="F675" s="57"/>
      <c r="G675" s="56"/>
    </row>
    <row r="676">
      <c r="B676" s="8" t="b">
        <v>0</v>
      </c>
      <c r="C676" s="55"/>
      <c r="D676" s="56"/>
      <c r="E676" s="56"/>
      <c r="F676" s="57"/>
      <c r="G676" s="56"/>
    </row>
    <row r="677">
      <c r="B677" s="8" t="b">
        <v>0</v>
      </c>
      <c r="C677" s="55"/>
      <c r="D677" s="56"/>
      <c r="E677" s="56"/>
      <c r="F677" s="57"/>
      <c r="G677" s="56"/>
    </row>
    <row r="678">
      <c r="B678" s="8" t="b">
        <v>0</v>
      </c>
      <c r="C678" s="55"/>
      <c r="D678" s="56"/>
      <c r="E678" s="56"/>
      <c r="F678" s="57"/>
      <c r="G678" s="56"/>
    </row>
    <row r="679">
      <c r="B679" s="8" t="b">
        <v>0</v>
      </c>
      <c r="C679" s="55"/>
      <c r="D679" s="56"/>
      <c r="E679" s="56"/>
      <c r="F679" s="57"/>
      <c r="G679" s="56"/>
    </row>
    <row r="680">
      <c r="B680" s="8" t="b">
        <v>0</v>
      </c>
      <c r="C680" s="55"/>
      <c r="D680" s="56"/>
      <c r="E680" s="56"/>
      <c r="F680" s="57"/>
      <c r="G680" s="56"/>
    </row>
    <row r="681">
      <c r="B681" s="8" t="b">
        <v>0</v>
      </c>
      <c r="C681" s="55"/>
      <c r="D681" s="56"/>
      <c r="E681" s="56"/>
      <c r="F681" s="57"/>
      <c r="G681" s="56"/>
    </row>
    <row r="682">
      <c r="B682" s="8" t="b">
        <v>0</v>
      </c>
      <c r="C682" s="55"/>
      <c r="D682" s="56"/>
      <c r="E682" s="56"/>
      <c r="F682" s="57"/>
      <c r="G682" s="56"/>
    </row>
    <row r="683">
      <c r="B683" s="8" t="b">
        <v>0</v>
      </c>
      <c r="C683" s="55"/>
      <c r="D683" s="56"/>
      <c r="E683" s="56"/>
      <c r="F683" s="57"/>
      <c r="G683" s="56"/>
    </row>
    <row r="684">
      <c r="B684" s="8" t="b">
        <v>0</v>
      </c>
      <c r="C684" s="55"/>
      <c r="D684" s="56"/>
      <c r="E684" s="56"/>
      <c r="F684" s="57"/>
      <c r="G684" s="56"/>
    </row>
    <row r="685">
      <c r="B685" s="8" t="b">
        <v>0</v>
      </c>
      <c r="C685" s="55"/>
      <c r="D685" s="56"/>
      <c r="E685" s="56"/>
      <c r="F685" s="57"/>
      <c r="G685" s="56"/>
    </row>
    <row r="686">
      <c r="B686" s="8" t="b">
        <v>0</v>
      </c>
      <c r="C686" s="55"/>
      <c r="D686" s="56"/>
      <c r="E686" s="56"/>
      <c r="F686" s="57"/>
      <c r="G686" s="56"/>
    </row>
    <row r="687">
      <c r="B687" s="8" t="b">
        <v>0</v>
      </c>
      <c r="C687" s="55"/>
      <c r="D687" s="56"/>
      <c r="E687" s="56"/>
      <c r="F687" s="57"/>
      <c r="G687" s="56"/>
    </row>
    <row r="688">
      <c r="B688" s="8" t="b">
        <v>0</v>
      </c>
      <c r="C688" s="55"/>
      <c r="D688" s="56"/>
      <c r="E688" s="56"/>
      <c r="F688" s="57"/>
      <c r="G688" s="56"/>
    </row>
    <row r="689">
      <c r="B689" s="8" t="b">
        <v>0</v>
      </c>
      <c r="C689" s="55"/>
      <c r="D689" s="56"/>
      <c r="E689" s="56"/>
      <c r="F689" s="57"/>
      <c r="G689" s="56"/>
    </row>
    <row r="690">
      <c r="B690" s="8" t="b">
        <v>0</v>
      </c>
      <c r="C690" s="55"/>
      <c r="D690" s="56"/>
      <c r="E690" s="56"/>
      <c r="F690" s="57"/>
      <c r="G690" s="56"/>
    </row>
    <row r="691">
      <c r="B691" s="8" t="b">
        <v>0</v>
      </c>
      <c r="C691" s="55"/>
      <c r="D691" s="56"/>
      <c r="E691" s="56"/>
      <c r="F691" s="57"/>
      <c r="G691" s="56"/>
    </row>
    <row r="692">
      <c r="B692" s="8" t="b">
        <v>0</v>
      </c>
      <c r="C692" s="55"/>
      <c r="D692" s="56"/>
      <c r="E692" s="56"/>
      <c r="F692" s="57"/>
      <c r="G692" s="56"/>
    </row>
    <row r="693">
      <c r="B693" s="8" t="b">
        <v>0</v>
      </c>
      <c r="C693" s="55"/>
      <c r="D693" s="56"/>
      <c r="E693" s="56"/>
      <c r="F693" s="57"/>
      <c r="G693" s="56"/>
    </row>
    <row r="694">
      <c r="B694" s="8" t="b">
        <v>0</v>
      </c>
      <c r="C694" s="55"/>
      <c r="D694" s="56"/>
      <c r="E694" s="56"/>
      <c r="F694" s="57"/>
      <c r="G694" s="56"/>
    </row>
    <row r="695">
      <c r="B695" s="8" t="b">
        <v>0</v>
      </c>
      <c r="C695" s="55"/>
      <c r="D695" s="56"/>
      <c r="E695" s="56"/>
      <c r="F695" s="57"/>
      <c r="G695" s="56"/>
    </row>
    <row r="696">
      <c r="B696" s="8" t="b">
        <v>0</v>
      </c>
      <c r="C696" s="55"/>
      <c r="D696" s="56"/>
      <c r="E696" s="56"/>
      <c r="F696" s="57"/>
      <c r="G696" s="56"/>
    </row>
    <row r="697">
      <c r="B697" s="8" t="b">
        <v>0</v>
      </c>
      <c r="C697" s="55"/>
      <c r="D697" s="56"/>
      <c r="E697" s="56"/>
      <c r="F697" s="57"/>
      <c r="G697" s="56"/>
    </row>
    <row r="698">
      <c r="B698" s="8" t="b">
        <v>0</v>
      </c>
      <c r="C698" s="55"/>
      <c r="D698" s="56"/>
      <c r="E698" s="56"/>
      <c r="F698" s="57"/>
      <c r="G698" s="56"/>
    </row>
    <row r="699">
      <c r="B699" s="8" t="b">
        <v>0</v>
      </c>
      <c r="C699" s="55"/>
      <c r="D699" s="56"/>
      <c r="E699" s="56"/>
      <c r="F699" s="57"/>
      <c r="G699" s="56"/>
    </row>
    <row r="700">
      <c r="B700" s="8" t="b">
        <v>0</v>
      </c>
      <c r="C700" s="55"/>
      <c r="D700" s="56"/>
      <c r="E700" s="56"/>
      <c r="F700" s="57"/>
      <c r="G700" s="56"/>
    </row>
    <row r="701">
      <c r="B701" s="8" t="b">
        <v>0</v>
      </c>
      <c r="C701" s="55"/>
      <c r="D701" s="56"/>
      <c r="E701" s="56"/>
      <c r="F701" s="57"/>
      <c r="G701" s="56"/>
    </row>
    <row r="702">
      <c r="B702" s="8" t="b">
        <v>0</v>
      </c>
      <c r="C702" s="55"/>
      <c r="D702" s="56"/>
      <c r="E702" s="56"/>
      <c r="F702" s="57"/>
      <c r="G702" s="56"/>
    </row>
    <row r="703">
      <c r="B703" s="8" t="b">
        <v>0</v>
      </c>
      <c r="C703" s="55"/>
      <c r="D703" s="56"/>
      <c r="E703" s="56"/>
      <c r="F703" s="57"/>
      <c r="G703" s="56"/>
    </row>
    <row r="704">
      <c r="B704" s="8" t="b">
        <v>0</v>
      </c>
      <c r="C704" s="55"/>
      <c r="D704" s="56"/>
      <c r="E704" s="56"/>
      <c r="F704" s="57"/>
      <c r="G704" s="56"/>
    </row>
    <row r="705">
      <c r="B705" s="8" t="b">
        <v>0</v>
      </c>
      <c r="C705" s="55"/>
      <c r="D705" s="56"/>
      <c r="E705" s="56"/>
      <c r="F705" s="57"/>
      <c r="G705" s="56"/>
    </row>
    <row r="706">
      <c r="B706" s="8" t="b">
        <v>0</v>
      </c>
      <c r="C706" s="55"/>
      <c r="D706" s="56"/>
      <c r="E706" s="56"/>
      <c r="F706" s="57"/>
      <c r="G706" s="56"/>
    </row>
    <row r="707">
      <c r="B707" s="8" t="b">
        <v>0</v>
      </c>
      <c r="C707" s="55"/>
      <c r="D707" s="56"/>
      <c r="E707" s="56"/>
      <c r="F707" s="57"/>
      <c r="G707" s="56"/>
    </row>
    <row r="708">
      <c r="B708" s="8" t="b">
        <v>0</v>
      </c>
      <c r="C708" s="55"/>
      <c r="D708" s="56"/>
      <c r="E708" s="56"/>
      <c r="F708" s="57"/>
      <c r="G708" s="56"/>
    </row>
    <row r="709">
      <c r="B709" s="8" t="b">
        <v>0</v>
      </c>
      <c r="C709" s="55"/>
      <c r="D709" s="56"/>
      <c r="E709" s="56"/>
      <c r="F709" s="57"/>
      <c r="G709" s="56"/>
    </row>
    <row r="710">
      <c r="B710" s="8" t="b">
        <v>0</v>
      </c>
      <c r="C710" s="55"/>
      <c r="D710" s="56"/>
      <c r="E710" s="56"/>
      <c r="F710" s="57"/>
      <c r="G710" s="56"/>
    </row>
    <row r="711">
      <c r="B711" s="8" t="b">
        <v>0</v>
      </c>
      <c r="C711" s="55"/>
      <c r="D711" s="56"/>
      <c r="E711" s="56"/>
      <c r="F711" s="57"/>
      <c r="G711" s="56"/>
    </row>
    <row r="712">
      <c r="B712" s="8" t="b">
        <v>0</v>
      </c>
      <c r="C712" s="55"/>
      <c r="D712" s="56"/>
      <c r="E712" s="56"/>
      <c r="F712" s="57"/>
      <c r="G712" s="56"/>
    </row>
    <row r="713">
      <c r="B713" s="8" t="b">
        <v>0</v>
      </c>
      <c r="C713" s="55"/>
      <c r="D713" s="56"/>
      <c r="E713" s="56"/>
      <c r="F713" s="57"/>
      <c r="G713" s="56"/>
    </row>
    <row r="714">
      <c r="B714" s="8" t="b">
        <v>0</v>
      </c>
      <c r="C714" s="55"/>
      <c r="D714" s="56"/>
      <c r="E714" s="56"/>
      <c r="F714" s="57"/>
      <c r="G714" s="56"/>
    </row>
    <row r="715">
      <c r="B715" s="8" t="b">
        <v>0</v>
      </c>
      <c r="C715" s="55"/>
      <c r="D715" s="56"/>
      <c r="E715" s="56"/>
      <c r="F715" s="57"/>
      <c r="G715" s="56"/>
    </row>
    <row r="716">
      <c r="B716" s="8" t="b">
        <v>0</v>
      </c>
      <c r="C716" s="55"/>
      <c r="D716" s="56"/>
      <c r="E716" s="56"/>
      <c r="F716" s="57"/>
      <c r="G716" s="56"/>
    </row>
    <row r="717">
      <c r="B717" s="8" t="b">
        <v>0</v>
      </c>
      <c r="C717" s="55"/>
      <c r="D717" s="56"/>
      <c r="E717" s="56"/>
      <c r="F717" s="57"/>
      <c r="G717" s="56"/>
    </row>
    <row r="718">
      <c r="B718" s="8" t="b">
        <v>0</v>
      </c>
      <c r="C718" s="55"/>
      <c r="D718" s="56"/>
      <c r="E718" s="56"/>
      <c r="F718" s="57"/>
      <c r="G718" s="56"/>
    </row>
    <row r="719">
      <c r="B719" s="8" t="b">
        <v>0</v>
      </c>
      <c r="C719" s="55"/>
      <c r="D719" s="56"/>
      <c r="E719" s="56"/>
      <c r="F719" s="57"/>
      <c r="G719" s="56"/>
    </row>
    <row r="720">
      <c r="B720" s="8" t="b">
        <v>0</v>
      </c>
      <c r="C720" s="55"/>
      <c r="D720" s="56"/>
      <c r="E720" s="56"/>
      <c r="F720" s="57"/>
      <c r="G720" s="56"/>
    </row>
    <row r="721">
      <c r="B721" s="8" t="b">
        <v>0</v>
      </c>
      <c r="C721" s="55"/>
      <c r="D721" s="56"/>
      <c r="E721" s="56"/>
      <c r="F721" s="57"/>
      <c r="G721" s="56"/>
    </row>
    <row r="722">
      <c r="B722" s="8" t="b">
        <v>0</v>
      </c>
      <c r="C722" s="55"/>
      <c r="D722" s="56"/>
      <c r="E722" s="56"/>
      <c r="F722" s="57"/>
      <c r="G722" s="56"/>
    </row>
    <row r="723">
      <c r="B723" s="8" t="b">
        <v>0</v>
      </c>
      <c r="C723" s="55"/>
      <c r="D723" s="56"/>
      <c r="E723" s="56"/>
      <c r="F723" s="57"/>
      <c r="G723" s="56"/>
    </row>
    <row r="724">
      <c r="B724" s="8" t="b">
        <v>0</v>
      </c>
      <c r="C724" s="55"/>
      <c r="D724" s="56"/>
      <c r="E724" s="56"/>
      <c r="F724" s="57"/>
      <c r="G724" s="56"/>
    </row>
    <row r="725">
      <c r="B725" s="8" t="b">
        <v>0</v>
      </c>
      <c r="C725" s="55"/>
      <c r="D725" s="56"/>
      <c r="E725" s="56"/>
      <c r="F725" s="57"/>
      <c r="G725" s="56"/>
    </row>
    <row r="726">
      <c r="B726" s="8" t="b">
        <v>0</v>
      </c>
      <c r="C726" s="55"/>
      <c r="D726" s="56"/>
      <c r="E726" s="56"/>
      <c r="F726" s="57"/>
      <c r="G726" s="56"/>
    </row>
    <row r="727">
      <c r="B727" s="8" t="b">
        <v>0</v>
      </c>
      <c r="C727" s="55"/>
      <c r="D727" s="56"/>
      <c r="E727" s="56"/>
      <c r="F727" s="57"/>
      <c r="G727" s="56"/>
    </row>
    <row r="728">
      <c r="B728" s="8" t="b">
        <v>0</v>
      </c>
      <c r="C728" s="55"/>
      <c r="D728" s="56"/>
      <c r="E728" s="56"/>
      <c r="F728" s="57"/>
      <c r="G728" s="56"/>
    </row>
    <row r="729">
      <c r="B729" s="8" t="b">
        <v>0</v>
      </c>
      <c r="C729" s="55"/>
      <c r="D729" s="56"/>
      <c r="E729" s="56"/>
      <c r="F729" s="57"/>
      <c r="G729" s="56"/>
    </row>
    <row r="730">
      <c r="B730" s="8" t="b">
        <v>0</v>
      </c>
      <c r="C730" s="55"/>
      <c r="D730" s="56"/>
      <c r="E730" s="56"/>
      <c r="F730" s="57"/>
      <c r="G730" s="56"/>
    </row>
    <row r="731">
      <c r="B731" s="8" t="b">
        <v>0</v>
      </c>
      <c r="C731" s="55"/>
      <c r="D731" s="56"/>
      <c r="E731" s="56"/>
      <c r="F731" s="57"/>
      <c r="G731" s="56"/>
    </row>
    <row r="732">
      <c r="B732" s="8" t="b">
        <v>0</v>
      </c>
      <c r="C732" s="55"/>
      <c r="D732" s="56"/>
      <c r="E732" s="56"/>
      <c r="F732" s="57"/>
      <c r="G732" s="56"/>
    </row>
    <row r="733">
      <c r="B733" s="8" t="b">
        <v>0</v>
      </c>
      <c r="C733" s="55"/>
      <c r="D733" s="56"/>
      <c r="E733" s="56"/>
      <c r="F733" s="57"/>
      <c r="G733" s="56"/>
    </row>
    <row r="734">
      <c r="B734" s="8" t="b">
        <v>0</v>
      </c>
      <c r="C734" s="55"/>
      <c r="D734" s="56"/>
      <c r="E734" s="56"/>
      <c r="F734" s="57"/>
      <c r="G734" s="56"/>
    </row>
    <row r="735">
      <c r="B735" s="8" t="b">
        <v>0</v>
      </c>
      <c r="C735" s="55"/>
      <c r="D735" s="56"/>
      <c r="E735" s="56"/>
      <c r="F735" s="57"/>
      <c r="G735" s="56"/>
    </row>
    <row r="736">
      <c r="B736" s="8" t="b">
        <v>0</v>
      </c>
      <c r="C736" s="55"/>
      <c r="D736" s="56"/>
      <c r="E736" s="56"/>
      <c r="F736" s="57"/>
      <c r="G736" s="56"/>
    </row>
    <row r="737">
      <c r="B737" s="8" t="b">
        <v>0</v>
      </c>
      <c r="C737" s="55"/>
      <c r="D737" s="56"/>
      <c r="E737" s="56"/>
      <c r="F737" s="57"/>
      <c r="G737" s="56"/>
    </row>
    <row r="738">
      <c r="B738" s="8" t="b">
        <v>0</v>
      </c>
      <c r="C738" s="55"/>
      <c r="D738" s="56"/>
      <c r="E738" s="56"/>
      <c r="F738" s="57"/>
      <c r="G738" s="56"/>
    </row>
    <row r="739">
      <c r="B739" s="8" t="b">
        <v>0</v>
      </c>
      <c r="C739" s="55"/>
      <c r="D739" s="56"/>
      <c r="E739" s="56"/>
      <c r="F739" s="57"/>
      <c r="G739" s="56"/>
    </row>
    <row r="740">
      <c r="B740" s="8" t="b">
        <v>0</v>
      </c>
      <c r="C740" s="55"/>
      <c r="D740" s="56"/>
      <c r="E740" s="56"/>
      <c r="F740" s="57"/>
      <c r="G740" s="56"/>
    </row>
    <row r="741">
      <c r="B741" s="8" t="b">
        <v>0</v>
      </c>
      <c r="C741" s="55"/>
      <c r="D741" s="56"/>
      <c r="E741" s="56"/>
      <c r="F741" s="57"/>
      <c r="G741" s="56"/>
    </row>
    <row r="742">
      <c r="B742" s="8" t="b">
        <v>0</v>
      </c>
      <c r="C742" s="55"/>
      <c r="D742" s="56"/>
      <c r="E742" s="56"/>
      <c r="F742" s="57"/>
      <c r="G742" s="56"/>
    </row>
    <row r="743">
      <c r="B743" s="8" t="b">
        <v>0</v>
      </c>
      <c r="C743" s="55"/>
      <c r="D743" s="56"/>
      <c r="E743" s="56"/>
      <c r="F743" s="57"/>
      <c r="G743" s="56"/>
    </row>
    <row r="744">
      <c r="B744" s="8" t="b">
        <v>0</v>
      </c>
      <c r="C744" s="55"/>
      <c r="D744" s="56"/>
      <c r="E744" s="56"/>
      <c r="F744" s="57"/>
      <c r="G744" s="56"/>
    </row>
    <row r="745">
      <c r="B745" s="8" t="b">
        <v>0</v>
      </c>
      <c r="C745" s="55"/>
      <c r="D745" s="56"/>
      <c r="E745" s="56"/>
      <c r="F745" s="57"/>
      <c r="G745" s="56"/>
    </row>
    <row r="746">
      <c r="B746" s="8" t="b">
        <v>0</v>
      </c>
      <c r="C746" s="55"/>
      <c r="D746" s="56"/>
      <c r="E746" s="56"/>
      <c r="F746" s="57"/>
      <c r="G746" s="56"/>
    </row>
    <row r="747">
      <c r="B747" s="8" t="b">
        <v>0</v>
      </c>
      <c r="C747" s="55"/>
      <c r="D747" s="56"/>
      <c r="E747" s="56"/>
      <c r="F747" s="57"/>
      <c r="G747" s="56"/>
    </row>
    <row r="748">
      <c r="B748" s="8" t="b">
        <v>0</v>
      </c>
      <c r="C748" s="55"/>
      <c r="D748" s="56"/>
      <c r="E748" s="56"/>
      <c r="F748" s="57"/>
      <c r="G748" s="56"/>
    </row>
    <row r="749">
      <c r="B749" s="8" t="b">
        <v>0</v>
      </c>
      <c r="C749" s="55"/>
      <c r="D749" s="56"/>
      <c r="E749" s="56"/>
      <c r="F749" s="57"/>
      <c r="G749" s="56"/>
    </row>
    <row r="750">
      <c r="B750" s="8" t="b">
        <v>0</v>
      </c>
      <c r="C750" s="55"/>
      <c r="D750" s="56"/>
      <c r="E750" s="56"/>
      <c r="F750" s="57"/>
      <c r="G750" s="56"/>
    </row>
    <row r="751">
      <c r="B751" s="8" t="b">
        <v>0</v>
      </c>
      <c r="C751" s="55"/>
      <c r="D751" s="56"/>
      <c r="E751" s="56"/>
      <c r="F751" s="57"/>
      <c r="G751" s="56"/>
    </row>
    <row r="752">
      <c r="B752" s="8" t="b">
        <v>0</v>
      </c>
      <c r="C752" s="55"/>
      <c r="D752" s="56"/>
      <c r="E752" s="56"/>
      <c r="F752" s="57"/>
      <c r="G752" s="56"/>
    </row>
    <row r="753">
      <c r="B753" s="8" t="b">
        <v>0</v>
      </c>
      <c r="C753" s="55"/>
      <c r="D753" s="56"/>
      <c r="E753" s="56"/>
      <c r="F753" s="57"/>
      <c r="G753" s="56"/>
    </row>
    <row r="754">
      <c r="B754" s="8" t="b">
        <v>0</v>
      </c>
      <c r="C754" s="55"/>
      <c r="D754" s="56"/>
      <c r="E754" s="56"/>
      <c r="F754" s="57"/>
      <c r="G754" s="56"/>
    </row>
    <row r="755">
      <c r="B755" s="8" t="b">
        <v>0</v>
      </c>
      <c r="C755" s="55"/>
      <c r="D755" s="56"/>
      <c r="E755" s="56"/>
      <c r="F755" s="57"/>
      <c r="G755" s="56"/>
    </row>
    <row r="756">
      <c r="B756" s="8" t="b">
        <v>0</v>
      </c>
      <c r="C756" s="55"/>
      <c r="D756" s="56"/>
      <c r="E756" s="56"/>
      <c r="F756" s="57"/>
      <c r="G756" s="56"/>
    </row>
    <row r="757">
      <c r="B757" s="8" t="b">
        <v>0</v>
      </c>
      <c r="C757" s="55"/>
      <c r="D757" s="56"/>
      <c r="E757" s="56"/>
      <c r="F757" s="57"/>
      <c r="G757" s="56"/>
    </row>
    <row r="758">
      <c r="B758" s="8" t="b">
        <v>0</v>
      </c>
      <c r="C758" s="55"/>
      <c r="D758" s="56"/>
      <c r="E758" s="56"/>
      <c r="F758" s="57"/>
      <c r="G758" s="56"/>
    </row>
    <row r="759">
      <c r="B759" s="8" t="b">
        <v>0</v>
      </c>
      <c r="C759" s="55"/>
      <c r="D759" s="56"/>
      <c r="E759" s="56"/>
      <c r="F759" s="57"/>
      <c r="G759" s="56"/>
    </row>
    <row r="760">
      <c r="B760" s="8" t="b">
        <v>0</v>
      </c>
      <c r="C760" s="55"/>
      <c r="D760" s="56"/>
      <c r="E760" s="56"/>
      <c r="F760" s="57"/>
      <c r="G760" s="56"/>
    </row>
    <row r="761">
      <c r="B761" s="8" t="b">
        <v>0</v>
      </c>
      <c r="C761" s="55"/>
      <c r="D761" s="56"/>
      <c r="E761" s="56"/>
      <c r="F761" s="57"/>
      <c r="G761" s="56"/>
    </row>
    <row r="762">
      <c r="B762" s="8" t="b">
        <v>0</v>
      </c>
      <c r="C762" s="55"/>
      <c r="D762" s="56"/>
      <c r="E762" s="56"/>
      <c r="F762" s="57"/>
      <c r="G762" s="56"/>
    </row>
    <row r="763">
      <c r="B763" s="8" t="b">
        <v>0</v>
      </c>
      <c r="C763" s="55"/>
      <c r="D763" s="56"/>
      <c r="E763" s="56"/>
      <c r="F763" s="57"/>
      <c r="G763" s="56"/>
    </row>
    <row r="764">
      <c r="B764" s="8" t="b">
        <v>0</v>
      </c>
      <c r="C764" s="55"/>
      <c r="D764" s="56"/>
      <c r="E764" s="56"/>
      <c r="F764" s="57"/>
      <c r="G764" s="56"/>
    </row>
    <row r="765">
      <c r="B765" s="8" t="b">
        <v>0</v>
      </c>
      <c r="C765" s="55"/>
      <c r="D765" s="56"/>
      <c r="E765" s="56"/>
      <c r="F765" s="57"/>
      <c r="G765" s="56"/>
    </row>
    <row r="766">
      <c r="B766" s="8" t="b">
        <v>0</v>
      </c>
      <c r="C766" s="55"/>
      <c r="D766" s="56"/>
      <c r="E766" s="56"/>
      <c r="F766" s="57"/>
      <c r="G766" s="56"/>
    </row>
    <row r="767">
      <c r="B767" s="8" t="b">
        <v>0</v>
      </c>
      <c r="C767" s="55"/>
      <c r="D767" s="56"/>
      <c r="E767" s="56"/>
      <c r="F767" s="57"/>
      <c r="G767" s="56"/>
    </row>
    <row r="768">
      <c r="B768" s="8" t="b">
        <v>0</v>
      </c>
      <c r="C768" s="55"/>
      <c r="D768" s="56"/>
      <c r="E768" s="56"/>
      <c r="F768" s="57"/>
      <c r="G768" s="56"/>
    </row>
    <row r="769">
      <c r="B769" s="8" t="b">
        <v>0</v>
      </c>
      <c r="C769" s="55"/>
      <c r="D769" s="56"/>
      <c r="E769" s="56"/>
      <c r="F769" s="57"/>
      <c r="G769" s="56"/>
    </row>
    <row r="770">
      <c r="B770" s="8" t="b">
        <v>0</v>
      </c>
      <c r="C770" s="55"/>
      <c r="D770" s="56"/>
      <c r="E770" s="56"/>
      <c r="F770" s="57"/>
      <c r="G770" s="56"/>
    </row>
    <row r="771">
      <c r="B771" s="8" t="b">
        <v>0</v>
      </c>
      <c r="C771" s="55"/>
      <c r="D771" s="56"/>
      <c r="E771" s="56"/>
      <c r="F771" s="57"/>
      <c r="G771" s="56"/>
    </row>
    <row r="772">
      <c r="B772" s="8" t="b">
        <v>0</v>
      </c>
      <c r="C772" s="55"/>
      <c r="D772" s="56"/>
      <c r="E772" s="56"/>
      <c r="F772" s="57"/>
      <c r="G772" s="56"/>
    </row>
    <row r="773">
      <c r="B773" s="8" t="b">
        <v>0</v>
      </c>
      <c r="C773" s="55"/>
      <c r="D773" s="56"/>
      <c r="E773" s="56"/>
      <c r="F773" s="57"/>
      <c r="G773" s="56"/>
    </row>
    <row r="774">
      <c r="B774" s="8" t="b">
        <v>0</v>
      </c>
      <c r="C774" s="55"/>
      <c r="D774" s="56"/>
      <c r="E774" s="56"/>
      <c r="F774" s="57"/>
      <c r="G774" s="56"/>
    </row>
    <row r="775">
      <c r="B775" s="8" t="b">
        <v>0</v>
      </c>
      <c r="C775" s="55"/>
      <c r="D775" s="56"/>
      <c r="E775" s="56"/>
      <c r="F775" s="57"/>
      <c r="G775" s="56"/>
    </row>
    <row r="776">
      <c r="B776" s="8" t="b">
        <v>0</v>
      </c>
      <c r="C776" s="55"/>
      <c r="D776" s="56"/>
      <c r="E776" s="56"/>
      <c r="F776" s="57"/>
      <c r="G776" s="56"/>
    </row>
    <row r="777">
      <c r="B777" s="8" t="b">
        <v>0</v>
      </c>
      <c r="C777" s="55"/>
      <c r="D777" s="56"/>
      <c r="E777" s="56"/>
      <c r="F777" s="57"/>
      <c r="G777" s="56"/>
    </row>
    <row r="778">
      <c r="B778" s="8" t="b">
        <v>0</v>
      </c>
      <c r="C778" s="55"/>
      <c r="D778" s="56"/>
      <c r="E778" s="56"/>
      <c r="F778" s="57"/>
      <c r="G778" s="56"/>
    </row>
    <row r="779">
      <c r="B779" s="8" t="b">
        <v>0</v>
      </c>
      <c r="C779" s="55"/>
      <c r="D779" s="56"/>
      <c r="E779" s="56"/>
      <c r="F779" s="57"/>
      <c r="G779" s="56"/>
    </row>
    <row r="780">
      <c r="B780" s="8" t="b">
        <v>0</v>
      </c>
      <c r="C780" s="55"/>
      <c r="D780" s="56"/>
      <c r="E780" s="56"/>
      <c r="F780" s="57"/>
      <c r="G780" s="56"/>
    </row>
    <row r="781">
      <c r="B781" s="8" t="b">
        <v>0</v>
      </c>
      <c r="C781" s="55"/>
      <c r="D781" s="56"/>
      <c r="E781" s="56"/>
      <c r="F781" s="57"/>
      <c r="G781" s="56"/>
    </row>
    <row r="782">
      <c r="B782" s="8" t="b">
        <v>0</v>
      </c>
      <c r="C782" s="55"/>
      <c r="D782" s="56"/>
      <c r="E782" s="56"/>
      <c r="F782" s="57"/>
      <c r="G782" s="56"/>
    </row>
    <row r="783">
      <c r="B783" s="8" t="b">
        <v>0</v>
      </c>
      <c r="C783" s="55"/>
      <c r="D783" s="56"/>
      <c r="E783" s="56"/>
      <c r="F783" s="57"/>
      <c r="G783" s="56"/>
    </row>
    <row r="784">
      <c r="B784" s="8" t="b">
        <v>0</v>
      </c>
      <c r="C784" s="55"/>
      <c r="D784" s="56"/>
      <c r="E784" s="56"/>
      <c r="F784" s="57"/>
      <c r="G784" s="56"/>
    </row>
    <row r="785">
      <c r="B785" s="8" t="b">
        <v>0</v>
      </c>
      <c r="C785" s="55"/>
      <c r="D785" s="56"/>
      <c r="E785" s="56"/>
      <c r="F785" s="57"/>
      <c r="G785" s="56"/>
    </row>
    <row r="786">
      <c r="B786" s="8" t="b">
        <v>0</v>
      </c>
      <c r="C786" s="55"/>
      <c r="D786" s="56"/>
      <c r="E786" s="56"/>
      <c r="F786" s="57"/>
      <c r="G786" s="56"/>
    </row>
    <row r="787">
      <c r="B787" s="8" t="b">
        <v>0</v>
      </c>
      <c r="C787" s="55"/>
      <c r="D787" s="56"/>
      <c r="E787" s="56"/>
      <c r="F787" s="57"/>
      <c r="G787" s="56"/>
    </row>
    <row r="788">
      <c r="B788" s="8" t="b">
        <v>0</v>
      </c>
      <c r="C788" s="55"/>
      <c r="D788" s="56"/>
      <c r="E788" s="56"/>
      <c r="F788" s="57"/>
      <c r="G788" s="56"/>
    </row>
    <row r="789">
      <c r="B789" s="8" t="b">
        <v>0</v>
      </c>
      <c r="C789" s="55"/>
      <c r="D789" s="56"/>
      <c r="E789" s="56"/>
      <c r="F789" s="57"/>
      <c r="G789" s="56"/>
    </row>
    <row r="790">
      <c r="B790" s="8" t="b">
        <v>0</v>
      </c>
      <c r="C790" s="55"/>
      <c r="D790" s="56"/>
      <c r="E790" s="56"/>
      <c r="F790" s="57"/>
      <c r="G790" s="56"/>
    </row>
    <row r="791">
      <c r="B791" s="8" t="b">
        <v>0</v>
      </c>
      <c r="C791" s="55"/>
      <c r="D791" s="56"/>
      <c r="E791" s="56"/>
      <c r="F791" s="57"/>
      <c r="G791" s="56"/>
    </row>
    <row r="792">
      <c r="B792" s="8" t="b">
        <v>0</v>
      </c>
      <c r="C792" s="55"/>
      <c r="D792" s="56"/>
      <c r="E792" s="56"/>
      <c r="F792" s="57"/>
      <c r="G792" s="56"/>
    </row>
    <row r="793">
      <c r="B793" s="8" t="b">
        <v>0</v>
      </c>
      <c r="C793" s="55"/>
      <c r="D793" s="56"/>
      <c r="E793" s="56"/>
      <c r="F793" s="57"/>
      <c r="G793" s="56"/>
    </row>
    <row r="794">
      <c r="B794" s="8" t="b">
        <v>0</v>
      </c>
      <c r="C794" s="55"/>
      <c r="D794" s="56"/>
      <c r="E794" s="56"/>
      <c r="F794" s="57"/>
      <c r="G794" s="56"/>
    </row>
    <row r="795">
      <c r="B795" s="8" t="b">
        <v>0</v>
      </c>
      <c r="C795" s="55"/>
      <c r="D795" s="56"/>
      <c r="E795" s="56"/>
      <c r="F795" s="57"/>
      <c r="G795" s="56"/>
    </row>
    <row r="796">
      <c r="B796" s="8" t="b">
        <v>0</v>
      </c>
      <c r="C796" s="55"/>
      <c r="D796" s="56"/>
      <c r="E796" s="56"/>
      <c r="F796" s="57"/>
      <c r="G796" s="56"/>
    </row>
    <row r="797">
      <c r="B797" s="8" t="b">
        <v>0</v>
      </c>
      <c r="C797" s="55"/>
      <c r="D797" s="56"/>
      <c r="E797" s="56"/>
      <c r="F797" s="57"/>
      <c r="G797" s="56"/>
    </row>
    <row r="798">
      <c r="B798" s="8" t="b">
        <v>0</v>
      </c>
      <c r="C798" s="55"/>
      <c r="D798" s="56"/>
      <c r="E798" s="56"/>
      <c r="F798" s="57"/>
      <c r="G798" s="56"/>
    </row>
    <row r="799">
      <c r="B799" s="8" t="b">
        <v>0</v>
      </c>
      <c r="C799" s="55"/>
      <c r="D799" s="56"/>
      <c r="E799" s="56"/>
      <c r="F799" s="57"/>
      <c r="G799" s="56"/>
    </row>
    <row r="800">
      <c r="B800" s="8" t="b">
        <v>0</v>
      </c>
      <c r="C800" s="55"/>
      <c r="D800" s="56"/>
      <c r="E800" s="56"/>
      <c r="F800" s="57"/>
      <c r="G800" s="56"/>
    </row>
    <row r="801">
      <c r="B801" s="8" t="b">
        <v>0</v>
      </c>
      <c r="C801" s="55"/>
      <c r="D801" s="56"/>
      <c r="E801" s="56"/>
      <c r="F801" s="57"/>
      <c r="G801" s="56"/>
    </row>
    <row r="802">
      <c r="B802" s="8" t="b">
        <v>0</v>
      </c>
      <c r="C802" s="55"/>
      <c r="D802" s="56"/>
      <c r="E802" s="56"/>
      <c r="F802" s="57"/>
      <c r="G802" s="56"/>
    </row>
    <row r="803">
      <c r="B803" s="8" t="b">
        <v>0</v>
      </c>
      <c r="C803" s="55"/>
      <c r="D803" s="56"/>
      <c r="E803" s="56"/>
      <c r="F803" s="57"/>
      <c r="G803" s="56"/>
    </row>
    <row r="804">
      <c r="B804" s="8" t="b">
        <v>0</v>
      </c>
      <c r="C804" s="55"/>
      <c r="D804" s="56"/>
      <c r="E804" s="56"/>
      <c r="F804" s="57"/>
      <c r="G804" s="56"/>
    </row>
    <row r="805">
      <c r="B805" s="8" t="b">
        <v>0</v>
      </c>
      <c r="C805" s="55"/>
      <c r="D805" s="56"/>
      <c r="E805" s="56"/>
      <c r="F805" s="57"/>
      <c r="G805" s="56"/>
    </row>
    <row r="806">
      <c r="B806" s="8" t="b">
        <v>0</v>
      </c>
      <c r="C806" s="55"/>
      <c r="D806" s="56"/>
      <c r="E806" s="56"/>
      <c r="F806" s="57"/>
      <c r="G806" s="56"/>
    </row>
    <row r="807">
      <c r="B807" s="8" t="b">
        <v>0</v>
      </c>
      <c r="C807" s="55"/>
      <c r="D807" s="56"/>
      <c r="E807" s="56"/>
      <c r="F807" s="57"/>
      <c r="G807" s="56"/>
    </row>
    <row r="808">
      <c r="B808" s="8" t="b">
        <v>0</v>
      </c>
      <c r="C808" s="55"/>
      <c r="D808" s="56"/>
      <c r="E808" s="56"/>
      <c r="F808" s="57"/>
      <c r="G808" s="56"/>
    </row>
    <row r="809">
      <c r="B809" s="8" t="b">
        <v>0</v>
      </c>
      <c r="C809" s="55"/>
      <c r="D809" s="56"/>
      <c r="E809" s="56"/>
      <c r="F809" s="57"/>
      <c r="G809" s="56"/>
    </row>
    <row r="810">
      <c r="B810" s="8" t="b">
        <v>0</v>
      </c>
      <c r="C810" s="55"/>
      <c r="D810" s="56"/>
      <c r="E810" s="56"/>
      <c r="F810" s="57"/>
      <c r="G810" s="56"/>
    </row>
    <row r="811">
      <c r="B811" s="8" t="b">
        <v>0</v>
      </c>
      <c r="C811" s="55"/>
      <c r="D811" s="56"/>
      <c r="E811" s="56"/>
      <c r="F811" s="57"/>
      <c r="G811" s="56"/>
    </row>
    <row r="812">
      <c r="B812" s="8" t="b">
        <v>0</v>
      </c>
      <c r="C812" s="55"/>
      <c r="D812" s="56"/>
      <c r="E812" s="56"/>
      <c r="F812" s="57"/>
      <c r="G812" s="56"/>
    </row>
    <row r="813">
      <c r="B813" s="8" t="b">
        <v>0</v>
      </c>
      <c r="C813" s="55"/>
      <c r="D813" s="56"/>
      <c r="E813" s="56"/>
      <c r="F813" s="57"/>
      <c r="G813" s="56"/>
    </row>
    <row r="814">
      <c r="B814" s="8" t="b">
        <v>0</v>
      </c>
      <c r="C814" s="55"/>
      <c r="D814" s="56"/>
      <c r="E814" s="56"/>
      <c r="F814" s="57"/>
      <c r="G814" s="56"/>
    </row>
    <row r="815">
      <c r="B815" s="8" t="b">
        <v>0</v>
      </c>
      <c r="C815" s="55"/>
      <c r="D815" s="56"/>
      <c r="E815" s="56"/>
      <c r="F815" s="57"/>
      <c r="G815" s="56"/>
    </row>
    <row r="816">
      <c r="B816" s="8" t="b">
        <v>0</v>
      </c>
      <c r="C816" s="55"/>
      <c r="D816" s="56"/>
      <c r="E816" s="56"/>
      <c r="F816" s="57"/>
      <c r="G816" s="56"/>
    </row>
    <row r="817">
      <c r="B817" s="8" t="b">
        <v>0</v>
      </c>
      <c r="C817" s="55"/>
      <c r="D817" s="56"/>
      <c r="E817" s="56"/>
      <c r="F817" s="57"/>
      <c r="G817" s="56"/>
    </row>
    <row r="818">
      <c r="B818" s="8" t="b">
        <v>0</v>
      </c>
      <c r="C818" s="55"/>
      <c r="D818" s="56"/>
      <c r="E818" s="56"/>
      <c r="F818" s="57"/>
      <c r="G818" s="56"/>
    </row>
    <row r="819">
      <c r="B819" s="8" t="b">
        <v>0</v>
      </c>
      <c r="C819" s="55"/>
      <c r="D819" s="56"/>
      <c r="E819" s="56"/>
      <c r="F819" s="57"/>
      <c r="G819" s="56"/>
    </row>
    <row r="820">
      <c r="B820" s="8" t="b">
        <v>0</v>
      </c>
      <c r="C820" s="55"/>
      <c r="D820" s="56"/>
      <c r="E820" s="56"/>
      <c r="F820" s="57"/>
      <c r="G820" s="56"/>
    </row>
    <row r="821">
      <c r="B821" s="8" t="b">
        <v>0</v>
      </c>
      <c r="C821" s="55"/>
      <c r="D821" s="56"/>
      <c r="E821" s="56"/>
      <c r="F821" s="57"/>
      <c r="G821" s="56"/>
    </row>
    <row r="822">
      <c r="B822" s="8" t="b">
        <v>0</v>
      </c>
      <c r="C822" s="55"/>
      <c r="D822" s="56"/>
      <c r="E822" s="56"/>
      <c r="F822" s="57"/>
      <c r="G822" s="56"/>
    </row>
    <row r="823">
      <c r="B823" s="8" t="b">
        <v>0</v>
      </c>
      <c r="C823" s="55"/>
      <c r="D823" s="56"/>
      <c r="E823" s="56"/>
      <c r="F823" s="57"/>
      <c r="G823" s="56"/>
    </row>
    <row r="824">
      <c r="B824" s="8" t="b">
        <v>0</v>
      </c>
      <c r="C824" s="55"/>
      <c r="D824" s="56"/>
      <c r="E824" s="56"/>
      <c r="F824" s="57"/>
      <c r="G824" s="56"/>
    </row>
    <row r="825">
      <c r="B825" s="8" t="b">
        <v>0</v>
      </c>
      <c r="C825" s="55"/>
      <c r="D825" s="56"/>
      <c r="E825" s="56"/>
      <c r="F825" s="57"/>
      <c r="G825" s="56"/>
    </row>
    <row r="826">
      <c r="B826" s="8" t="b">
        <v>0</v>
      </c>
      <c r="C826" s="55"/>
      <c r="D826" s="56"/>
      <c r="E826" s="56"/>
      <c r="F826" s="57"/>
      <c r="G826" s="56"/>
    </row>
    <row r="827">
      <c r="B827" s="8" t="b">
        <v>0</v>
      </c>
      <c r="C827" s="55"/>
      <c r="D827" s="56"/>
      <c r="E827" s="56"/>
      <c r="F827" s="57"/>
      <c r="G827" s="56"/>
    </row>
    <row r="828">
      <c r="B828" s="8" t="b">
        <v>0</v>
      </c>
      <c r="C828" s="55"/>
      <c r="D828" s="56"/>
      <c r="E828" s="56"/>
      <c r="F828" s="57"/>
      <c r="G828" s="56"/>
    </row>
    <row r="829">
      <c r="B829" s="8" t="b">
        <v>0</v>
      </c>
      <c r="C829" s="55"/>
      <c r="D829" s="56"/>
      <c r="E829" s="56"/>
      <c r="F829" s="57"/>
      <c r="G829" s="56"/>
    </row>
    <row r="830">
      <c r="B830" s="8" t="b">
        <v>0</v>
      </c>
      <c r="C830" s="55"/>
      <c r="D830" s="56"/>
      <c r="E830" s="56"/>
      <c r="F830" s="57"/>
      <c r="G830" s="56"/>
    </row>
    <row r="831">
      <c r="B831" s="8" t="b">
        <v>0</v>
      </c>
      <c r="C831" s="55"/>
      <c r="D831" s="56"/>
      <c r="E831" s="56"/>
      <c r="F831" s="57"/>
      <c r="G831" s="56"/>
    </row>
    <row r="832">
      <c r="B832" s="8" t="b">
        <v>0</v>
      </c>
      <c r="C832" s="55"/>
      <c r="D832" s="56"/>
      <c r="E832" s="56"/>
      <c r="F832" s="57"/>
      <c r="G832" s="56"/>
    </row>
    <row r="833">
      <c r="B833" s="8" t="b">
        <v>0</v>
      </c>
      <c r="C833" s="55"/>
      <c r="D833" s="56"/>
      <c r="E833" s="56"/>
      <c r="F833" s="57"/>
      <c r="G833" s="56"/>
    </row>
    <row r="834">
      <c r="B834" s="8" t="b">
        <v>0</v>
      </c>
      <c r="C834" s="55"/>
      <c r="D834" s="56"/>
      <c r="E834" s="56"/>
      <c r="F834" s="57"/>
      <c r="G834" s="56"/>
    </row>
    <row r="835">
      <c r="B835" s="8" t="b">
        <v>0</v>
      </c>
      <c r="C835" s="55"/>
      <c r="D835" s="56"/>
      <c r="E835" s="56"/>
      <c r="F835" s="57"/>
      <c r="G835" s="56"/>
    </row>
    <row r="836">
      <c r="B836" s="8" t="b">
        <v>0</v>
      </c>
      <c r="C836" s="55"/>
      <c r="D836" s="56"/>
      <c r="E836" s="56"/>
      <c r="F836" s="57"/>
      <c r="G836" s="56"/>
    </row>
    <row r="837">
      <c r="B837" s="8" t="b">
        <v>0</v>
      </c>
      <c r="C837" s="55"/>
      <c r="D837" s="56"/>
      <c r="E837" s="56"/>
      <c r="F837" s="57"/>
      <c r="G837" s="56"/>
    </row>
    <row r="838">
      <c r="B838" s="8" t="b">
        <v>0</v>
      </c>
      <c r="C838" s="55"/>
      <c r="D838" s="56"/>
      <c r="E838" s="56"/>
      <c r="F838" s="57"/>
      <c r="G838" s="56"/>
    </row>
    <row r="839">
      <c r="B839" s="8" t="b">
        <v>0</v>
      </c>
      <c r="C839" s="55"/>
      <c r="D839" s="56"/>
      <c r="E839" s="56"/>
      <c r="F839" s="57"/>
      <c r="G839" s="56"/>
    </row>
    <row r="840">
      <c r="B840" s="8" t="b">
        <v>0</v>
      </c>
      <c r="C840" s="55"/>
      <c r="D840" s="56"/>
      <c r="E840" s="56"/>
      <c r="F840" s="57"/>
      <c r="G840" s="56"/>
    </row>
    <row r="841">
      <c r="B841" s="8" t="b">
        <v>0</v>
      </c>
      <c r="C841" s="55"/>
      <c r="D841" s="56"/>
      <c r="E841" s="56"/>
      <c r="F841" s="57"/>
      <c r="G841" s="56"/>
    </row>
    <row r="842">
      <c r="B842" s="8" t="b">
        <v>0</v>
      </c>
      <c r="C842" s="55"/>
      <c r="D842" s="56"/>
      <c r="E842" s="56"/>
      <c r="F842" s="57"/>
      <c r="G842" s="56"/>
    </row>
    <row r="843">
      <c r="B843" s="8" t="b">
        <v>0</v>
      </c>
      <c r="C843" s="55"/>
      <c r="D843" s="56"/>
      <c r="E843" s="56"/>
      <c r="F843" s="57"/>
      <c r="G843" s="56"/>
    </row>
    <row r="844">
      <c r="B844" s="8" t="b">
        <v>0</v>
      </c>
      <c r="C844" s="55"/>
      <c r="D844" s="56"/>
      <c r="E844" s="56"/>
      <c r="F844" s="57"/>
      <c r="G844" s="56"/>
    </row>
    <row r="845">
      <c r="B845" s="8" t="b">
        <v>0</v>
      </c>
      <c r="C845" s="55"/>
      <c r="D845" s="56"/>
      <c r="E845" s="56"/>
      <c r="F845" s="57"/>
      <c r="G845" s="56"/>
    </row>
    <row r="846">
      <c r="B846" s="8" t="b">
        <v>0</v>
      </c>
      <c r="C846" s="55"/>
      <c r="D846" s="56"/>
      <c r="E846" s="56"/>
      <c r="F846" s="57"/>
      <c r="G846" s="56"/>
    </row>
    <row r="847">
      <c r="B847" s="8" t="b">
        <v>0</v>
      </c>
      <c r="C847" s="55"/>
      <c r="D847" s="56"/>
      <c r="E847" s="56"/>
      <c r="F847" s="57"/>
      <c r="G847" s="56"/>
    </row>
    <row r="848">
      <c r="B848" s="8" t="b">
        <v>0</v>
      </c>
      <c r="C848" s="55"/>
      <c r="D848" s="56"/>
      <c r="E848" s="56"/>
      <c r="F848" s="57"/>
      <c r="G848" s="56"/>
    </row>
    <row r="849">
      <c r="B849" s="8" t="b">
        <v>0</v>
      </c>
      <c r="C849" s="55"/>
      <c r="D849" s="56"/>
      <c r="E849" s="56"/>
      <c r="F849" s="57"/>
      <c r="G849" s="56"/>
    </row>
    <row r="850">
      <c r="B850" s="8" t="b">
        <v>0</v>
      </c>
      <c r="C850" s="55"/>
      <c r="D850" s="56"/>
      <c r="E850" s="56"/>
      <c r="F850" s="57"/>
      <c r="G850" s="56"/>
    </row>
    <row r="851">
      <c r="B851" s="8" t="b">
        <v>0</v>
      </c>
      <c r="C851" s="55"/>
      <c r="D851" s="56"/>
      <c r="E851" s="56"/>
      <c r="F851" s="57"/>
      <c r="G851" s="56"/>
    </row>
  </sheetData>
  <mergeCells count="1">
    <mergeCell ref="B2:G2"/>
  </mergeCells>
  <dataValidations>
    <dataValidation type="list" allowBlank="1" showErrorMessage="1" sqref="G6:G851">
      <formula1>'Konfigurasi ⚙'!$D$3:$D$5</formula1>
    </dataValidation>
    <dataValidation type="custom" allowBlank="1" showDropDown="1" sqref="C5:C851">
      <formula1>OR(NOT(ISERROR(DATEVALUE(C5))), AND(ISNUMBER(C5), LEFT(CELL("format", C5))="D"))</formula1>
    </dataValidation>
    <dataValidation type="list" allowBlank="1" showErrorMessage="1" sqref="E6:E851">
      <formula1>'Konfigurasi ⚙'!$A$3:$A$10</formula1>
    </dataValidation>
  </dataValidations>
  <hyperlinks>
    <hyperlink r:id="rId1" ref="D35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2" max="2" width="18.75"/>
    <col customWidth="1" min="3" max="3" width="5.75"/>
    <col customWidth="1" min="4" max="4" width="17.88"/>
    <col customWidth="1" min="5" max="5" width="7.88"/>
    <col customWidth="1" min="6" max="6" width="17.75"/>
    <col customWidth="1" min="7" max="7" width="4.5"/>
    <col customWidth="1" min="8" max="8" width="20.75"/>
    <col customWidth="1" min="9" max="9" width="9.25"/>
    <col customWidth="1" min="10" max="10" width="17.13"/>
    <col customWidth="1" min="11" max="11" width="2.75"/>
  </cols>
  <sheetData>
    <row r="1">
      <c r="A1" s="17"/>
      <c r="B1" s="60" t="s">
        <v>83</v>
      </c>
      <c r="I1" s="61" t="s">
        <v>84</v>
      </c>
      <c r="J1" s="62">
        <v>2026.0</v>
      </c>
      <c r="K1" s="17"/>
    </row>
    <row r="2">
      <c r="A2" s="17"/>
      <c r="I2" s="61" t="s">
        <v>85</v>
      </c>
      <c r="J2" s="61" t="s">
        <v>4</v>
      </c>
      <c r="K2" s="17"/>
    </row>
    <row r="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ht="25.5" customHeight="1">
      <c r="A4" s="17"/>
      <c r="B4" s="63" t="s">
        <v>86</v>
      </c>
      <c r="K4" s="17"/>
    </row>
    <row r="5" ht="12.0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ht="18.0" customHeight="1">
      <c r="A6" s="64"/>
      <c r="B6" s="65" t="s">
        <v>16</v>
      </c>
      <c r="C6" s="17"/>
      <c r="D6" s="17"/>
      <c r="E6" s="17"/>
      <c r="F6" s="66" t="str">
        <f>J2&amp;" Savings"</f>
        <v>February Savings</v>
      </c>
      <c r="G6" s="17"/>
      <c r="H6" s="17"/>
      <c r="I6" s="17"/>
      <c r="J6" s="66" t="str">
        <f>J2&amp;" Spendings"</f>
        <v>February Spendings</v>
      </c>
      <c r="K6" s="64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 ht="39.75" customHeight="1">
      <c r="A7" s="67"/>
      <c r="B7" s="68">
        <f>IFERROR(VLOOKUP("Total Income", Budgeting!B:P, MATCH($J$2, Budgeting!B2:P2, 0), 0),"")</f>
        <v>6547101</v>
      </c>
      <c r="C7" s="17"/>
      <c r="D7" s="17"/>
      <c r="E7" s="17"/>
      <c r="F7" s="69">
        <f>IFERROR(VLOOKUP("Total Savings", Budgeting!B:P, MATCH($J$2, Budgeting!B2:P2, 0), 0),"")</f>
        <v>694601</v>
      </c>
      <c r="G7" s="17"/>
      <c r="H7" s="17"/>
      <c r="I7" s="17"/>
      <c r="J7" s="69">
        <f>SUMIFS('Spending Tracker'!F:F, 'Spending Tracker'!C:C, "&gt;="&amp;DATE($J$1,MATCH($J$2,Budgeting!$E$2:$P$2,0),1), 'Spending Tracker'!C:C, "&lt;="&amp;EOMONTH(DATE($J$1,MATCH($J$2,Budgeting!$E$2:$P$2,0),1),0))</f>
        <v>5116547</v>
      </c>
      <c r="K7" s="67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</row>
    <row r="8" ht="12.7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</row>
    <row r="9" ht="21.0" customHeight="1">
      <c r="A9" s="64"/>
      <c r="B9" s="71" t="s">
        <v>87</v>
      </c>
      <c r="C9" s="72"/>
      <c r="D9" s="71" t="s">
        <v>88</v>
      </c>
      <c r="E9" s="73"/>
      <c r="F9" s="71" t="s">
        <v>89</v>
      </c>
      <c r="G9" s="73"/>
      <c r="H9" s="71" t="s">
        <v>90</v>
      </c>
      <c r="I9" s="73"/>
      <c r="J9" s="74" t="s">
        <v>91</v>
      </c>
      <c r="K9" s="64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>
      <c r="A10" s="17"/>
      <c r="B10" s="75" t="str">
        <f>IFERROR(__xludf.DUMMYFUNCTION("FILTER('Konfigurasi ⚙'!A3:A997, 'Konfigurasi ⚙'!A3:A997&lt;&gt;"""")"),"Kos")</f>
        <v>Kos</v>
      </c>
      <c r="C10" s="76"/>
      <c r="D10" s="77">
        <f>IFERROR(VLOOKUP(B10, Budgeting!B:P, MATCH($J$2, Budgeting!B2:P2, 0), 0),"")</f>
        <v>1500000</v>
      </c>
      <c r="E10" s="76"/>
      <c r="F10" s="77">
        <f>SUMIFS('Spending Tracker'!F:F, 'Spending Tracker'!E:E, B10, 'Spending Tracker'!C:C, "&gt;="&amp;DATE($J$1,MATCH($J$2,Budgeting!$E$2:$P$2,0),1), 'Spending Tracker'!C:C, "&lt;="&amp;EOMONTH(DATE($J$1,MATCH($J$2,Budgeting!$E$2:$P$2,0),1),0))</f>
        <v>1500000</v>
      </c>
      <c r="G10" s="76"/>
      <c r="H10" s="75" t="str">
        <f>IFERROR(__xludf.DUMMYFUNCTION("SPARKLINE(J10, {""charttype"",""bar""; ""max"",1; ""color1"",IF(J10&gt;1,""red"",""teal"")})"),"")</f>
        <v/>
      </c>
      <c r="I10" s="76"/>
      <c r="J10" s="78">
        <f t="shared" ref="J10:J15" si="1">IFERROR(F10/D10,"")</f>
        <v>1</v>
      </c>
      <c r="K10" s="17"/>
    </row>
    <row r="11">
      <c r="A11" s="17"/>
      <c r="B11" s="75" t="str">
        <f>IFERROR(__xludf.DUMMYFUNCTION("""COMPUTED_VALUE"""),"Makanan")</f>
        <v>Makanan</v>
      </c>
      <c r="C11" s="76"/>
      <c r="D11" s="77">
        <f>IFERROR(VLOOKUP(B11, Budgeting!B:P, MATCH($J$2, Budgeting!B2:P2, 0), 0),"")</f>
        <v>1200000</v>
      </c>
      <c r="E11" s="76"/>
      <c r="F11" s="77">
        <f>SUMIFS('Spending Tracker'!F:F, 'Spending Tracker'!E:E, B11, 'Spending Tracker'!C:C, "&gt;="&amp;DATE($J$1,MATCH($J$2,Budgeting!$E$2:$P$2,0),1), 'Spending Tracker'!C:C, "&lt;="&amp;EOMONTH(DATE($J$1,MATCH($J$2,Budgeting!$E$2:$P$2,0),1),0))</f>
        <v>1196788</v>
      </c>
      <c r="G11" s="76"/>
      <c r="H11" s="75" t="str">
        <f>IFERROR(__xludf.DUMMYFUNCTION("SPARKLINE(J11, {""charttype"",""bar""; ""max"",1; ""color1"",IF(J11&gt;1,""red"",""teal"")})"),"")</f>
        <v/>
      </c>
      <c r="I11" s="76"/>
      <c r="J11" s="78">
        <f t="shared" si="1"/>
        <v>0.9973233333</v>
      </c>
      <c r="K11" s="17"/>
    </row>
    <row r="12">
      <c r="A12" s="17"/>
      <c r="B12" s="75" t="str">
        <f>IFERROR(__xludf.DUMMYFUNCTION("""COMPUTED_VALUE"""),"Skincare")</f>
        <v>Skincare</v>
      </c>
      <c r="C12" s="76"/>
      <c r="D12" s="77">
        <f>IFERROR(VLOOKUP(B12, Budgeting!B:P, MATCH($J$2, Budgeting!B2:P2, 0), 0),"")</f>
        <v>200000</v>
      </c>
      <c r="E12" s="76"/>
      <c r="F12" s="77">
        <f>SUMIFS('Spending Tracker'!F:F, 'Spending Tracker'!E:E, B12, 'Spending Tracker'!C:C, "&gt;="&amp;DATE($J$1,MATCH($J$2,Budgeting!$E$2:$P$2,0),1), 'Spending Tracker'!C:C, "&lt;="&amp;EOMONTH(DATE($J$1,MATCH($J$2,Budgeting!$E$2:$P$2,0),1),0))</f>
        <v>0</v>
      </c>
      <c r="G12" s="76"/>
      <c r="H12" s="75" t="str">
        <f>IFERROR(__xludf.DUMMYFUNCTION("SPARKLINE(J12, {""charttype"",""bar""; ""max"",1; ""color1"",IF(J12&gt;1,""red"",""teal"")})"),"")</f>
        <v/>
      </c>
      <c r="I12" s="76"/>
      <c r="J12" s="78">
        <f t="shared" si="1"/>
        <v>0</v>
      </c>
      <c r="K12" s="17"/>
    </row>
    <row r="13">
      <c r="A13" s="17"/>
      <c r="B13" s="75" t="str">
        <f>IFERROR(__xludf.DUMMYFUNCTION("""COMPUTED_VALUE"""),"Self-reward")</f>
        <v>Self-reward</v>
      </c>
      <c r="C13" s="76"/>
      <c r="D13" s="77">
        <f>IFERROR(VLOOKUP(B13, Budgeting!B:P, MATCH($J$2, Budgeting!B2:P2, 0), 0),"")</f>
        <v>200000</v>
      </c>
      <c r="E13" s="76"/>
      <c r="F13" s="77">
        <f>SUMIFS('Spending Tracker'!F:F, 'Spending Tracker'!E:E, B13, 'Spending Tracker'!C:C, "&gt;="&amp;DATE($J$1,MATCH($J$2,Budgeting!$E$2:$P$2,0),1), 'Spending Tracker'!C:C, "&lt;="&amp;EOMONTH(DATE($J$1,MATCH($J$2,Budgeting!$E$2:$P$2,0),1),0))</f>
        <v>200000</v>
      </c>
      <c r="G13" s="76"/>
      <c r="H13" s="75" t="str">
        <f>IFERROR(__xludf.DUMMYFUNCTION("SPARKLINE(J13, {""charttype"",""bar""; ""max"",1; ""color1"",IF(J13&gt;1,""red"",""teal"")})"),"")</f>
        <v/>
      </c>
      <c r="I13" s="76"/>
      <c r="J13" s="78">
        <f t="shared" si="1"/>
        <v>1</v>
      </c>
      <c r="K13" s="17"/>
    </row>
    <row r="14">
      <c r="A14" s="17"/>
      <c r="B14" s="75" t="str">
        <f>IFERROR(__xludf.DUMMYFUNCTION("""COMPUTED_VALUE"""),"Transfer")</f>
        <v>Transfer</v>
      </c>
      <c r="C14" s="76"/>
      <c r="D14" s="77">
        <f>IFERROR(VLOOKUP(B14, Budgeting!B:P, MATCH($J$2, Budgeting!B2:P2, 0), 0),"")</f>
        <v>1100000</v>
      </c>
      <c r="E14" s="76"/>
      <c r="F14" s="77">
        <f>SUMIFS('Spending Tracker'!F:F, 'Spending Tracker'!E:E, B14, 'Spending Tracker'!C:C, "&gt;="&amp;DATE($J$1,MATCH($J$2,Budgeting!$E$2:$P$2,0),1), 'Spending Tracker'!C:C, "&lt;="&amp;EOMONTH(DATE($J$1,MATCH($J$2,Budgeting!$E$2:$P$2,0),1),0))</f>
        <v>1100000</v>
      </c>
      <c r="G14" s="76"/>
      <c r="H14" s="75" t="str">
        <f>IFERROR(__xludf.DUMMYFUNCTION("SPARKLINE(J14, {""charttype"",""bar""; ""max"",1; ""color1"",IF(J14&gt;1,""red"",""teal"")})"),"")</f>
        <v/>
      </c>
      <c r="I14" s="76"/>
      <c r="J14" s="78">
        <f t="shared" si="1"/>
        <v>1</v>
      </c>
      <c r="K14" s="17"/>
      <c r="N14" s="8"/>
    </row>
    <row r="15">
      <c r="A15" s="17"/>
      <c r="B15" s="75" t="str">
        <f>IFERROR(__xludf.DUMMYFUNCTION("""COMPUTED_VALUE"""),"Lainnya")</f>
        <v>Lainnya</v>
      </c>
      <c r="C15" s="76"/>
      <c r="D15" s="77">
        <f>IFERROR(VLOOKUP(B15, Budgeting!B:P, MATCH($J$2, Budgeting!B2:P2, 0), 0),"")</f>
        <v>1652500</v>
      </c>
      <c r="E15" s="76"/>
      <c r="F15" s="77">
        <f>SUMIFS('Spending Tracker'!F:F, 'Spending Tracker'!E:E, B15, 'Spending Tracker'!C:C, "&gt;="&amp;DATE($J$1,MATCH($J$2,Budgeting!$E$2:$P$2,0),1), 'Spending Tracker'!C:C, "&lt;="&amp;EOMONTH(DATE($J$1,MATCH($J$2,Budgeting!$E$2:$P$2,0),1),0))</f>
        <v>1119759</v>
      </c>
      <c r="G15" s="76"/>
      <c r="H15" s="75" t="str">
        <f>IFERROR(__xludf.DUMMYFUNCTION("SPARKLINE(J15, {""charttype"",""bar""; ""max"",1; ""color1"",IF(J15&gt;1,""red"",""teal"")})"),"")</f>
        <v/>
      </c>
      <c r="I15" s="76"/>
      <c r="J15" s="78">
        <f t="shared" si="1"/>
        <v>0.6776151286</v>
      </c>
      <c r="K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>
      <c r="A17" s="17"/>
      <c r="B17" s="79" t="s">
        <v>92</v>
      </c>
      <c r="C17" s="17"/>
      <c r="D17" s="17"/>
      <c r="E17" s="17"/>
      <c r="F17" s="80" t="s">
        <v>93</v>
      </c>
      <c r="G17" s="17"/>
      <c r="H17" s="17"/>
      <c r="I17" s="17"/>
      <c r="J17" s="17"/>
      <c r="K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76">
      <c r="L76" s="4" t="s">
        <v>3</v>
      </c>
      <c r="M76" s="81">
        <f>SUMIFS('Spending Tracker'!F:F, 'Spending Tracker'!C:C, "&gt;="&amp;DATE($J$1,1,1), 'Spending Tracker'!C:C, "&lt;="&amp;EOMONTH(DATE($J$1,1,1),0))</f>
        <v>5668358</v>
      </c>
    </row>
    <row r="77">
      <c r="L77" s="4" t="s">
        <v>4</v>
      </c>
      <c r="M77" s="81">
        <f>SUMIFS('Spending Tracker'!F:F, 'Spending Tracker'!C:C, "&gt;="&amp;DATE($J$1,2,1), 'Spending Tracker'!C:C, "&lt;="&amp;EOMONTH(DATE($J$1,2,1),0))</f>
        <v>5116547</v>
      </c>
    </row>
    <row r="78">
      <c r="L78" s="4" t="s">
        <v>5</v>
      </c>
      <c r="M78" s="81">
        <f>SUMIFS('Spending Tracker'!F:F, 'Spending Tracker'!C:C, "&gt;="&amp;DATE($J$1,3,1), 'Spending Tracker'!C:C, "&lt;="&amp;EOMONTH(DATE($J$1,3,1),0))</f>
        <v>0</v>
      </c>
    </row>
    <row r="79">
      <c r="L79" s="4" t="s">
        <v>6</v>
      </c>
      <c r="M79" s="81">
        <f>SUMIFS('Spending Tracker'!F:F, 'Spending Tracker'!C:C, "&gt;="&amp;DATE($J$1,4,1), 'Spending Tracker'!C:C, "&lt;="&amp;EOMONTH(DATE($J$1,4,1),0))</f>
        <v>0</v>
      </c>
    </row>
    <row r="80">
      <c r="L80" s="4" t="s">
        <v>7</v>
      </c>
      <c r="M80" s="81">
        <f>SUMIFS('Spending Tracker'!F:F, 'Spending Tracker'!C:C, "&gt;="&amp;DATE($J$1,5,1), 'Spending Tracker'!C:C, "&lt;="&amp;EOMONTH(DATE($J$1,5,1),0))</f>
        <v>0</v>
      </c>
    </row>
    <row r="81">
      <c r="L81" s="4" t="s">
        <v>8</v>
      </c>
      <c r="M81" s="81">
        <f>SUMIFS('Spending Tracker'!F:F, 'Spending Tracker'!C:C, "&gt;="&amp;DATE($J$1,6,1), 'Spending Tracker'!C:C, "&lt;="&amp;EOMONTH(DATE($J$1,6,1),0))</f>
        <v>0</v>
      </c>
    </row>
    <row r="82">
      <c r="L82" s="4" t="s">
        <v>9</v>
      </c>
      <c r="M82" s="81">
        <f>SUMIFS('Spending Tracker'!F:F, 'Spending Tracker'!C:C, "&gt;="&amp;DATE($J$1,7,1), 'Spending Tracker'!C:C, "&lt;="&amp;EOMONTH(DATE($J$1,7,1),0))</f>
        <v>0</v>
      </c>
    </row>
    <row r="83">
      <c r="L83" s="4" t="s">
        <v>10</v>
      </c>
      <c r="M83" s="81">
        <f>SUMIFS('Spending Tracker'!F:F, 'Spending Tracker'!C:C, "&gt;="&amp;DATE($J$1,8,1), 'Spending Tracker'!C:C, "&lt;="&amp;EOMONTH(DATE($J$1,8,1),0))</f>
        <v>0</v>
      </c>
    </row>
    <row r="84">
      <c r="L84" s="4" t="s">
        <v>11</v>
      </c>
      <c r="M84" s="81">
        <f>SUMIFS('Spending Tracker'!F:F, 'Spending Tracker'!C:C, "&gt;="&amp;DATE($J$1,9,1), 'Spending Tracker'!C:C, "&lt;="&amp;EOMONTH(DATE($J$1,9,1),0))</f>
        <v>0</v>
      </c>
    </row>
    <row r="85">
      <c r="L85" s="4" t="s">
        <v>12</v>
      </c>
      <c r="M85" s="81">
        <f>SUMIFS('Spending Tracker'!F:F, 'Spending Tracker'!C:C, "&gt;="&amp;DATE($J$1,10,1), 'Spending Tracker'!C:C, "&lt;="&amp;EOMONTH(DATE($J$1,10,1),0))</f>
        <v>0</v>
      </c>
    </row>
    <row r="86">
      <c r="L86" s="4" t="s">
        <v>13</v>
      </c>
      <c r="M86" s="81">
        <f>SUMIFS('Spending Tracker'!F:F, 'Spending Tracker'!C:C, "&gt;="&amp;DATE($J$1,11,1), 'Spending Tracker'!C:C, "&lt;="&amp;EOMONTH(DATE($J$1,11,1),0))</f>
        <v>0</v>
      </c>
    </row>
    <row r="87">
      <c r="L87" s="4" t="s">
        <v>94</v>
      </c>
      <c r="M87" s="81">
        <f>SUMIFS('Spending Tracker'!F:F, 'Spending Tracker'!C:C, "&gt;="&amp;DATE($J$1,12,1), 'Spending Tracker'!C:C, "&lt;="&amp;EOMONTH(DATE($J$1,12,1),0))</f>
        <v>0</v>
      </c>
    </row>
    <row r="171">
      <c r="K171" s="17"/>
    </row>
    <row r="172">
      <c r="K172" s="17"/>
    </row>
    <row r="173">
      <c r="K173" s="17"/>
    </row>
    <row r="174">
      <c r="K174" s="17"/>
    </row>
    <row r="175">
      <c r="K175" s="17"/>
    </row>
    <row r="176">
      <c r="K176" s="17"/>
    </row>
    <row r="177">
      <c r="K177" s="17"/>
    </row>
    <row r="178">
      <c r="K178" s="17"/>
    </row>
    <row r="179">
      <c r="K179" s="17"/>
    </row>
    <row r="180">
      <c r="K180" s="17"/>
    </row>
    <row r="181">
      <c r="K181" s="17"/>
    </row>
    <row r="182">
      <c r="K182" s="17"/>
    </row>
    <row r="183">
      <c r="K183" s="17"/>
    </row>
    <row r="184">
      <c r="K184" s="17"/>
    </row>
    <row r="185">
      <c r="K185" s="17"/>
    </row>
    <row r="186">
      <c r="K186" s="17"/>
    </row>
    <row r="187">
      <c r="K187" s="17"/>
    </row>
    <row r="188">
      <c r="K188" s="17"/>
    </row>
    <row r="189">
      <c r="K189" s="17"/>
    </row>
    <row r="190">
      <c r="K190" s="17"/>
    </row>
    <row r="191">
      <c r="K191" s="17"/>
    </row>
    <row r="192">
      <c r="K192" s="17"/>
    </row>
    <row r="193">
      <c r="K193" s="17"/>
    </row>
    <row r="194">
      <c r="K194" s="17"/>
    </row>
    <row r="195">
      <c r="K195" s="17"/>
    </row>
    <row r="196">
      <c r="K196" s="17"/>
    </row>
    <row r="197">
      <c r="K197" s="17"/>
    </row>
    <row r="198">
      <c r="K198" s="17"/>
    </row>
    <row r="199">
      <c r="K199" s="17"/>
    </row>
    <row r="200">
      <c r="K200" s="17"/>
    </row>
    <row r="201">
      <c r="K201" s="17"/>
    </row>
    <row r="202">
      <c r="K202" s="17"/>
    </row>
    <row r="203">
      <c r="K203" s="17"/>
    </row>
    <row r="204">
      <c r="K204" s="17"/>
    </row>
    <row r="205">
      <c r="K205" s="17"/>
    </row>
    <row r="206">
      <c r="K206" s="17"/>
    </row>
    <row r="207">
      <c r="K207" s="17"/>
    </row>
    <row r="208">
      <c r="K208" s="17"/>
    </row>
    <row r="209">
      <c r="K209" s="17"/>
    </row>
    <row r="210">
      <c r="K210" s="17"/>
    </row>
    <row r="211">
      <c r="K211" s="17"/>
    </row>
    <row r="212">
      <c r="K212" s="17"/>
    </row>
    <row r="213">
      <c r="K213" s="17"/>
    </row>
    <row r="214">
      <c r="K214" s="17"/>
    </row>
    <row r="215">
      <c r="K215" s="17"/>
    </row>
    <row r="216">
      <c r="K216" s="17"/>
    </row>
    <row r="217">
      <c r="K217" s="17"/>
    </row>
    <row r="218">
      <c r="K218" s="17"/>
    </row>
    <row r="219">
      <c r="K219" s="17"/>
    </row>
    <row r="220">
      <c r="K220" s="17"/>
    </row>
    <row r="221">
      <c r="K221" s="17"/>
    </row>
    <row r="222">
      <c r="K222" s="17"/>
    </row>
    <row r="223">
      <c r="K223" s="17"/>
    </row>
    <row r="224">
      <c r="K224" s="17"/>
    </row>
    <row r="225">
      <c r="K225" s="17"/>
    </row>
    <row r="226">
      <c r="K226" s="17"/>
    </row>
    <row r="227">
      <c r="K227" s="17"/>
    </row>
    <row r="228">
      <c r="K228" s="17"/>
    </row>
    <row r="229">
      <c r="K229" s="17"/>
    </row>
    <row r="230">
      <c r="K230" s="17"/>
    </row>
    <row r="231">
      <c r="K231" s="17"/>
    </row>
    <row r="232">
      <c r="K232" s="17"/>
    </row>
    <row r="233">
      <c r="K233" s="17"/>
    </row>
    <row r="234">
      <c r="K234" s="17"/>
    </row>
    <row r="235">
      <c r="K235" s="17"/>
    </row>
    <row r="236">
      <c r="K236" s="17"/>
    </row>
    <row r="237">
      <c r="K237" s="17"/>
    </row>
    <row r="238">
      <c r="K238" s="17"/>
    </row>
    <row r="239">
      <c r="K239" s="17"/>
    </row>
    <row r="240">
      <c r="K240" s="17"/>
    </row>
    <row r="241">
      <c r="K241" s="17"/>
    </row>
    <row r="242">
      <c r="K242" s="17"/>
    </row>
    <row r="243">
      <c r="K243" s="17"/>
    </row>
    <row r="244">
      <c r="K244" s="17"/>
    </row>
    <row r="245">
      <c r="K245" s="17"/>
    </row>
    <row r="246">
      <c r="K246" s="17"/>
    </row>
    <row r="247">
      <c r="K247" s="17"/>
    </row>
    <row r="248">
      <c r="K248" s="17"/>
    </row>
    <row r="249">
      <c r="K249" s="17"/>
    </row>
    <row r="250">
      <c r="K250" s="17"/>
    </row>
    <row r="251">
      <c r="K251" s="17"/>
    </row>
    <row r="252">
      <c r="K252" s="17"/>
    </row>
    <row r="253">
      <c r="K253" s="17"/>
    </row>
    <row r="254">
      <c r="K254" s="17"/>
    </row>
    <row r="255">
      <c r="K255" s="17"/>
    </row>
    <row r="256">
      <c r="K256" s="17"/>
    </row>
    <row r="257">
      <c r="K257" s="17"/>
    </row>
    <row r="258">
      <c r="K258" s="17"/>
    </row>
    <row r="259">
      <c r="K259" s="17"/>
    </row>
    <row r="260">
      <c r="K260" s="17"/>
    </row>
    <row r="261">
      <c r="K261" s="17"/>
    </row>
    <row r="262">
      <c r="K262" s="17"/>
    </row>
    <row r="263">
      <c r="K263" s="17"/>
    </row>
    <row r="264">
      <c r="K264" s="17"/>
    </row>
    <row r="265">
      <c r="K265" s="17"/>
    </row>
    <row r="266">
      <c r="K266" s="17"/>
    </row>
    <row r="267">
      <c r="K267" s="17"/>
    </row>
    <row r="268">
      <c r="K268" s="17"/>
    </row>
    <row r="269">
      <c r="K269" s="17"/>
    </row>
    <row r="270">
      <c r="K270" s="17"/>
    </row>
    <row r="271">
      <c r="K271" s="17"/>
    </row>
    <row r="272">
      <c r="K272" s="17"/>
    </row>
    <row r="273">
      <c r="K273" s="17"/>
    </row>
    <row r="274">
      <c r="K274" s="17"/>
    </row>
    <row r="275">
      <c r="K275" s="17"/>
    </row>
    <row r="276">
      <c r="K276" s="17"/>
    </row>
    <row r="277">
      <c r="K277" s="17"/>
    </row>
    <row r="278">
      <c r="K278" s="17"/>
    </row>
    <row r="279">
      <c r="K279" s="17"/>
    </row>
    <row r="280">
      <c r="K280" s="17"/>
    </row>
    <row r="281">
      <c r="K281" s="17"/>
    </row>
    <row r="282">
      <c r="K282" s="17"/>
    </row>
    <row r="283">
      <c r="K283" s="17"/>
    </row>
    <row r="284">
      <c r="K284" s="17"/>
    </row>
    <row r="285">
      <c r="K285" s="17"/>
    </row>
    <row r="286">
      <c r="K286" s="17"/>
    </row>
    <row r="287">
      <c r="K287" s="17"/>
    </row>
    <row r="288">
      <c r="K288" s="17"/>
    </row>
    <row r="289">
      <c r="K289" s="17"/>
    </row>
    <row r="290">
      <c r="K290" s="17"/>
    </row>
    <row r="291">
      <c r="K291" s="17"/>
    </row>
    <row r="292">
      <c r="K292" s="17"/>
    </row>
    <row r="293">
      <c r="K293" s="17"/>
    </row>
    <row r="294">
      <c r="K294" s="17"/>
    </row>
    <row r="295">
      <c r="K295" s="17"/>
    </row>
    <row r="296">
      <c r="K296" s="17"/>
    </row>
    <row r="297">
      <c r="K297" s="17"/>
    </row>
    <row r="298">
      <c r="K298" s="17"/>
    </row>
    <row r="299">
      <c r="K299" s="17"/>
    </row>
    <row r="300">
      <c r="K300" s="17"/>
    </row>
    <row r="301">
      <c r="K301" s="17"/>
    </row>
    <row r="302">
      <c r="K302" s="17"/>
    </row>
    <row r="303">
      <c r="K303" s="17"/>
    </row>
    <row r="304">
      <c r="K304" s="17"/>
    </row>
    <row r="305">
      <c r="K305" s="17"/>
    </row>
    <row r="306">
      <c r="K306" s="17"/>
    </row>
    <row r="307">
      <c r="K307" s="17"/>
    </row>
    <row r="308">
      <c r="K308" s="17"/>
    </row>
    <row r="309">
      <c r="K309" s="17"/>
    </row>
    <row r="310">
      <c r="K310" s="17"/>
    </row>
    <row r="311">
      <c r="K311" s="17"/>
    </row>
    <row r="312">
      <c r="K312" s="17"/>
    </row>
    <row r="313">
      <c r="K313" s="17"/>
    </row>
    <row r="314">
      <c r="K314" s="17"/>
    </row>
    <row r="315">
      <c r="K315" s="17"/>
    </row>
    <row r="316">
      <c r="K316" s="17"/>
    </row>
    <row r="317">
      <c r="K317" s="17"/>
    </row>
    <row r="318">
      <c r="K318" s="17"/>
    </row>
    <row r="319">
      <c r="K319" s="17"/>
    </row>
    <row r="320">
      <c r="K320" s="17"/>
    </row>
    <row r="321">
      <c r="K321" s="17"/>
    </row>
    <row r="322">
      <c r="K322" s="17"/>
    </row>
    <row r="323">
      <c r="K323" s="17"/>
    </row>
    <row r="324">
      <c r="K324" s="17"/>
    </row>
    <row r="325">
      <c r="K325" s="17"/>
    </row>
    <row r="326">
      <c r="K326" s="17"/>
    </row>
    <row r="327">
      <c r="K327" s="17"/>
    </row>
    <row r="328">
      <c r="K328" s="17"/>
    </row>
    <row r="329">
      <c r="K329" s="17"/>
    </row>
    <row r="330">
      <c r="K330" s="17"/>
    </row>
    <row r="331">
      <c r="K331" s="17"/>
    </row>
    <row r="332">
      <c r="K332" s="17"/>
    </row>
    <row r="333">
      <c r="K333" s="17"/>
    </row>
    <row r="334">
      <c r="K334" s="17"/>
    </row>
    <row r="335">
      <c r="K335" s="17"/>
    </row>
    <row r="336">
      <c r="K336" s="17"/>
    </row>
    <row r="337">
      <c r="K337" s="17"/>
    </row>
    <row r="338">
      <c r="K338" s="17"/>
    </row>
    <row r="339">
      <c r="K339" s="17"/>
    </row>
    <row r="340">
      <c r="K340" s="17"/>
    </row>
    <row r="341">
      <c r="K341" s="17"/>
    </row>
    <row r="342">
      <c r="K342" s="17"/>
    </row>
    <row r="343">
      <c r="K343" s="17"/>
    </row>
    <row r="344">
      <c r="K344" s="17"/>
    </row>
    <row r="345">
      <c r="K345" s="17"/>
    </row>
    <row r="346">
      <c r="K346" s="17"/>
    </row>
    <row r="347">
      <c r="K347" s="17"/>
    </row>
    <row r="348">
      <c r="K348" s="17"/>
    </row>
    <row r="349">
      <c r="K349" s="17"/>
    </row>
    <row r="350">
      <c r="K350" s="17"/>
    </row>
    <row r="351">
      <c r="K351" s="17"/>
    </row>
    <row r="352">
      <c r="K352" s="17"/>
    </row>
    <row r="353">
      <c r="K353" s="17"/>
    </row>
    <row r="354">
      <c r="K354" s="17"/>
    </row>
    <row r="355">
      <c r="K355" s="17"/>
    </row>
    <row r="356">
      <c r="K356" s="17"/>
    </row>
    <row r="357">
      <c r="K357" s="17"/>
    </row>
    <row r="358">
      <c r="K358" s="17"/>
    </row>
    <row r="359">
      <c r="K359" s="17"/>
    </row>
    <row r="360">
      <c r="K360" s="17"/>
    </row>
    <row r="361">
      <c r="K361" s="17"/>
    </row>
    <row r="362">
      <c r="K362" s="17"/>
    </row>
    <row r="363">
      <c r="K363" s="17"/>
    </row>
    <row r="364">
      <c r="K364" s="17"/>
    </row>
    <row r="365">
      <c r="K365" s="17"/>
    </row>
    <row r="366">
      <c r="K366" s="17"/>
    </row>
    <row r="367">
      <c r="K367" s="17"/>
    </row>
    <row r="368">
      <c r="K368" s="17"/>
    </row>
    <row r="369">
      <c r="K369" s="17"/>
    </row>
    <row r="370">
      <c r="K370" s="17"/>
    </row>
    <row r="371">
      <c r="K371" s="17"/>
    </row>
    <row r="372">
      <c r="K372" s="17"/>
    </row>
    <row r="373">
      <c r="K373" s="17"/>
    </row>
    <row r="374">
      <c r="K374" s="17"/>
    </row>
    <row r="375">
      <c r="K375" s="17"/>
    </row>
    <row r="376">
      <c r="K376" s="17"/>
    </row>
    <row r="377">
      <c r="K377" s="17"/>
    </row>
    <row r="378">
      <c r="K378" s="17"/>
    </row>
    <row r="379">
      <c r="K379" s="17"/>
    </row>
    <row r="380">
      <c r="K380" s="17"/>
    </row>
    <row r="381">
      <c r="K381" s="17"/>
    </row>
    <row r="382">
      <c r="K382" s="17"/>
    </row>
    <row r="383">
      <c r="K383" s="17"/>
    </row>
    <row r="384">
      <c r="K384" s="17"/>
    </row>
    <row r="385">
      <c r="K385" s="17"/>
    </row>
    <row r="386">
      <c r="K386" s="17"/>
    </row>
    <row r="387">
      <c r="K387" s="17"/>
    </row>
    <row r="388">
      <c r="K388" s="17"/>
    </row>
    <row r="389">
      <c r="K389" s="17"/>
    </row>
    <row r="390">
      <c r="K390" s="17"/>
    </row>
    <row r="391">
      <c r="K391" s="17"/>
    </row>
    <row r="392">
      <c r="K392" s="17"/>
    </row>
    <row r="393">
      <c r="K393" s="17"/>
    </row>
    <row r="394">
      <c r="K394" s="17"/>
    </row>
    <row r="395">
      <c r="K395" s="17"/>
    </row>
    <row r="396">
      <c r="K396" s="17"/>
    </row>
    <row r="397">
      <c r="K397" s="17"/>
    </row>
    <row r="398">
      <c r="K398" s="17"/>
    </row>
    <row r="399">
      <c r="K399" s="17"/>
    </row>
    <row r="400">
      <c r="K400" s="17"/>
    </row>
    <row r="401">
      <c r="K401" s="17"/>
    </row>
    <row r="402">
      <c r="K402" s="17"/>
    </row>
    <row r="403">
      <c r="K403" s="17"/>
    </row>
    <row r="404">
      <c r="K404" s="17"/>
    </row>
    <row r="405">
      <c r="K405" s="17"/>
    </row>
    <row r="406">
      <c r="K406" s="17"/>
    </row>
    <row r="407">
      <c r="K407" s="17"/>
    </row>
    <row r="408">
      <c r="K408" s="17"/>
    </row>
    <row r="409">
      <c r="K409" s="17"/>
    </row>
    <row r="410">
      <c r="K410" s="17"/>
    </row>
    <row r="411">
      <c r="K411" s="17"/>
    </row>
    <row r="412">
      <c r="K412" s="17"/>
    </row>
    <row r="413">
      <c r="K413" s="17"/>
    </row>
    <row r="414">
      <c r="K414" s="17"/>
    </row>
    <row r="415">
      <c r="K415" s="17"/>
    </row>
    <row r="416">
      <c r="K416" s="17"/>
    </row>
    <row r="417">
      <c r="K417" s="17"/>
    </row>
    <row r="418">
      <c r="K418" s="17"/>
    </row>
    <row r="419">
      <c r="K419" s="17"/>
    </row>
    <row r="420">
      <c r="K420" s="17"/>
    </row>
    <row r="421">
      <c r="K421" s="17"/>
    </row>
    <row r="422">
      <c r="K422" s="17"/>
    </row>
    <row r="423">
      <c r="K423" s="17"/>
    </row>
    <row r="424">
      <c r="K424" s="17"/>
    </row>
    <row r="425">
      <c r="K425" s="17"/>
    </row>
    <row r="426">
      <c r="K426" s="17"/>
    </row>
    <row r="427">
      <c r="K427" s="17"/>
    </row>
    <row r="428">
      <c r="K428" s="17"/>
    </row>
    <row r="429">
      <c r="K429" s="17"/>
    </row>
    <row r="430">
      <c r="K430" s="17"/>
    </row>
    <row r="431">
      <c r="K431" s="17"/>
    </row>
    <row r="432">
      <c r="K432" s="17"/>
    </row>
    <row r="433">
      <c r="K433" s="17"/>
    </row>
    <row r="434">
      <c r="K434" s="17"/>
    </row>
    <row r="435">
      <c r="K435" s="17"/>
    </row>
    <row r="436">
      <c r="K436" s="17"/>
    </row>
    <row r="437">
      <c r="K437" s="17"/>
    </row>
    <row r="438">
      <c r="K438" s="17"/>
    </row>
    <row r="439">
      <c r="K439" s="17"/>
    </row>
    <row r="440">
      <c r="K440" s="17"/>
    </row>
    <row r="441">
      <c r="K441" s="17"/>
    </row>
    <row r="442">
      <c r="K442" s="17"/>
    </row>
    <row r="443">
      <c r="K443" s="17"/>
    </row>
    <row r="444">
      <c r="K444" s="17"/>
    </row>
    <row r="445">
      <c r="K445" s="17"/>
    </row>
    <row r="446">
      <c r="K446" s="17"/>
    </row>
    <row r="447">
      <c r="K447" s="17"/>
    </row>
    <row r="448">
      <c r="K448" s="17"/>
    </row>
    <row r="449">
      <c r="K449" s="17"/>
    </row>
    <row r="450">
      <c r="K450" s="17"/>
    </row>
    <row r="451">
      <c r="K451" s="17"/>
    </row>
    <row r="452">
      <c r="K452" s="17"/>
    </row>
    <row r="453">
      <c r="K453" s="17"/>
    </row>
    <row r="454">
      <c r="K454" s="17"/>
    </row>
    <row r="455">
      <c r="K455" s="17"/>
    </row>
    <row r="456">
      <c r="K456" s="17"/>
    </row>
    <row r="457">
      <c r="K457" s="17"/>
    </row>
    <row r="458">
      <c r="K458" s="17"/>
    </row>
    <row r="459">
      <c r="K459" s="17"/>
    </row>
    <row r="460">
      <c r="K460" s="17"/>
    </row>
    <row r="461">
      <c r="K461" s="17"/>
    </row>
    <row r="462">
      <c r="K462" s="17"/>
    </row>
    <row r="463">
      <c r="K463" s="17"/>
    </row>
    <row r="464">
      <c r="K464" s="17"/>
    </row>
    <row r="465">
      <c r="K465" s="17"/>
    </row>
    <row r="466">
      <c r="K466" s="17"/>
    </row>
    <row r="467">
      <c r="K467" s="17"/>
    </row>
    <row r="468">
      <c r="K468" s="17"/>
    </row>
    <row r="469">
      <c r="K469" s="17"/>
    </row>
    <row r="470">
      <c r="K470" s="17"/>
    </row>
    <row r="471">
      <c r="K471" s="17"/>
    </row>
    <row r="472">
      <c r="K472" s="17"/>
    </row>
    <row r="473">
      <c r="K473" s="17"/>
    </row>
    <row r="474">
      <c r="K474" s="17"/>
    </row>
    <row r="475">
      <c r="K475" s="17"/>
    </row>
    <row r="476">
      <c r="K476" s="17"/>
    </row>
    <row r="477">
      <c r="K477" s="17"/>
    </row>
    <row r="478">
      <c r="K478" s="17"/>
    </row>
    <row r="479">
      <c r="K479" s="17"/>
    </row>
    <row r="480">
      <c r="K480" s="17"/>
    </row>
    <row r="481">
      <c r="K481" s="17"/>
    </row>
    <row r="482">
      <c r="K482" s="17"/>
    </row>
    <row r="483">
      <c r="K483" s="17"/>
    </row>
    <row r="484">
      <c r="K484" s="17"/>
    </row>
    <row r="485">
      <c r="K485" s="17"/>
    </row>
    <row r="486">
      <c r="K486" s="17"/>
    </row>
    <row r="487">
      <c r="K487" s="17"/>
    </row>
    <row r="488">
      <c r="K488" s="17"/>
    </row>
    <row r="489">
      <c r="K489" s="17"/>
    </row>
    <row r="490">
      <c r="K490" s="17"/>
    </row>
    <row r="491">
      <c r="K491" s="17"/>
    </row>
    <row r="492">
      <c r="K492" s="17"/>
    </row>
    <row r="493">
      <c r="K493" s="17"/>
    </row>
    <row r="494">
      <c r="K494" s="17"/>
    </row>
    <row r="495">
      <c r="K495" s="17"/>
    </row>
    <row r="496">
      <c r="K496" s="17"/>
    </row>
    <row r="497">
      <c r="K497" s="17"/>
    </row>
    <row r="498">
      <c r="K498" s="17"/>
    </row>
    <row r="499">
      <c r="K499" s="17"/>
    </row>
    <row r="500">
      <c r="K500" s="17"/>
    </row>
    <row r="501">
      <c r="K501" s="17"/>
    </row>
    <row r="502">
      <c r="K502" s="17"/>
    </row>
    <row r="503">
      <c r="K503" s="17"/>
    </row>
    <row r="504">
      <c r="K504" s="17"/>
    </row>
    <row r="505">
      <c r="K505" s="17"/>
    </row>
    <row r="506">
      <c r="K506" s="17"/>
    </row>
    <row r="507">
      <c r="K507" s="17"/>
    </row>
    <row r="508">
      <c r="K508" s="17"/>
    </row>
    <row r="509">
      <c r="K509" s="17"/>
    </row>
    <row r="510">
      <c r="K510" s="17"/>
    </row>
    <row r="511">
      <c r="K511" s="17"/>
    </row>
    <row r="512">
      <c r="K512" s="17"/>
    </row>
    <row r="513">
      <c r="K513" s="17"/>
    </row>
    <row r="514">
      <c r="K514" s="17"/>
    </row>
    <row r="515">
      <c r="K515" s="17"/>
    </row>
    <row r="516">
      <c r="K516" s="17"/>
    </row>
    <row r="517">
      <c r="K517" s="17"/>
    </row>
    <row r="518">
      <c r="K518" s="17"/>
    </row>
    <row r="519">
      <c r="K519" s="17"/>
    </row>
    <row r="520">
      <c r="K520" s="17"/>
    </row>
    <row r="521">
      <c r="K521" s="17"/>
    </row>
    <row r="522">
      <c r="K522" s="17"/>
    </row>
    <row r="523">
      <c r="K523" s="17"/>
    </row>
    <row r="524">
      <c r="K524" s="17"/>
    </row>
    <row r="525">
      <c r="K525" s="17"/>
    </row>
    <row r="526">
      <c r="K526" s="17"/>
    </row>
    <row r="527">
      <c r="K527" s="17"/>
    </row>
    <row r="528">
      <c r="K528" s="17"/>
    </row>
    <row r="529">
      <c r="K529" s="17"/>
    </row>
    <row r="530">
      <c r="K530" s="17"/>
    </row>
    <row r="531">
      <c r="K531" s="17"/>
    </row>
    <row r="532">
      <c r="K532" s="17"/>
    </row>
    <row r="533">
      <c r="K533" s="17"/>
    </row>
    <row r="534">
      <c r="K534" s="17"/>
    </row>
    <row r="535">
      <c r="K535" s="17"/>
    </row>
    <row r="536">
      <c r="K536" s="17"/>
    </row>
    <row r="537">
      <c r="K537" s="17"/>
    </row>
    <row r="538">
      <c r="K538" s="17"/>
    </row>
    <row r="539">
      <c r="K539" s="17"/>
    </row>
    <row r="540">
      <c r="K540" s="17"/>
    </row>
    <row r="541">
      <c r="K541" s="17"/>
    </row>
    <row r="542">
      <c r="K542" s="17"/>
    </row>
    <row r="543">
      <c r="K543" s="17"/>
    </row>
    <row r="544">
      <c r="K544" s="17"/>
    </row>
    <row r="545">
      <c r="K545" s="17"/>
    </row>
    <row r="546">
      <c r="K546" s="17"/>
    </row>
    <row r="547">
      <c r="K547" s="17"/>
    </row>
    <row r="548">
      <c r="K548" s="17"/>
    </row>
    <row r="549">
      <c r="K549" s="17"/>
    </row>
    <row r="550">
      <c r="K550" s="17"/>
    </row>
    <row r="551">
      <c r="K551" s="17"/>
    </row>
    <row r="552">
      <c r="K552" s="17"/>
    </row>
    <row r="553">
      <c r="K553" s="17"/>
    </row>
    <row r="554">
      <c r="K554" s="17"/>
    </row>
    <row r="555">
      <c r="K555" s="17"/>
    </row>
    <row r="556">
      <c r="K556" s="17"/>
    </row>
    <row r="557">
      <c r="K557" s="17"/>
    </row>
    <row r="558">
      <c r="K558" s="17"/>
    </row>
    <row r="559">
      <c r="K559" s="17"/>
    </row>
    <row r="560">
      <c r="K560" s="17"/>
    </row>
    <row r="561">
      <c r="K561" s="17"/>
    </row>
    <row r="562">
      <c r="K562" s="17"/>
    </row>
    <row r="563">
      <c r="K563" s="17"/>
    </row>
    <row r="564">
      <c r="K564" s="17"/>
    </row>
    <row r="565">
      <c r="K565" s="17"/>
    </row>
    <row r="566">
      <c r="K566" s="17"/>
    </row>
    <row r="567">
      <c r="K567" s="17"/>
    </row>
    <row r="568">
      <c r="K568" s="17"/>
    </row>
    <row r="569">
      <c r="K569" s="17"/>
    </row>
    <row r="570">
      <c r="K570" s="17"/>
    </row>
    <row r="571">
      <c r="K571" s="17"/>
    </row>
    <row r="572">
      <c r="K572" s="17"/>
    </row>
    <row r="573">
      <c r="K573" s="17"/>
    </row>
    <row r="574">
      <c r="K574" s="17"/>
    </row>
    <row r="575">
      <c r="K575" s="17"/>
    </row>
    <row r="576">
      <c r="K576" s="17"/>
    </row>
    <row r="577">
      <c r="K577" s="17"/>
    </row>
    <row r="578">
      <c r="K578" s="17"/>
    </row>
    <row r="579">
      <c r="K579" s="17"/>
    </row>
    <row r="580">
      <c r="K580" s="17"/>
    </row>
    <row r="581">
      <c r="K581" s="17"/>
    </row>
    <row r="582">
      <c r="K582" s="17"/>
    </row>
    <row r="583">
      <c r="K583" s="17"/>
    </row>
    <row r="584">
      <c r="K584" s="17"/>
    </row>
    <row r="585">
      <c r="K585" s="17"/>
    </row>
    <row r="586">
      <c r="K586" s="17"/>
    </row>
    <row r="587">
      <c r="K587" s="17"/>
    </row>
    <row r="588">
      <c r="K588" s="17"/>
    </row>
    <row r="589">
      <c r="K589" s="17"/>
    </row>
    <row r="590">
      <c r="K590" s="17"/>
    </row>
    <row r="591">
      <c r="K591" s="17"/>
    </row>
    <row r="592">
      <c r="K592" s="17"/>
    </row>
    <row r="593">
      <c r="K593" s="17"/>
    </row>
    <row r="594">
      <c r="K594" s="17"/>
    </row>
    <row r="595">
      <c r="K595" s="17"/>
    </row>
    <row r="596">
      <c r="K596" s="17"/>
    </row>
    <row r="597">
      <c r="K597" s="17"/>
    </row>
    <row r="598">
      <c r="K598" s="17"/>
    </row>
    <row r="599">
      <c r="K599" s="17"/>
    </row>
    <row r="600">
      <c r="K600" s="17"/>
    </row>
    <row r="601">
      <c r="K601" s="17"/>
    </row>
    <row r="602">
      <c r="K602" s="17"/>
    </row>
    <row r="603">
      <c r="K603" s="17"/>
    </row>
    <row r="604">
      <c r="K604" s="17"/>
    </row>
    <row r="605">
      <c r="K605" s="17"/>
    </row>
    <row r="606">
      <c r="K606" s="17"/>
    </row>
    <row r="607">
      <c r="K607" s="17"/>
    </row>
    <row r="608">
      <c r="K608" s="17"/>
    </row>
    <row r="609">
      <c r="K609" s="17"/>
    </row>
    <row r="610">
      <c r="K610" s="17"/>
    </row>
    <row r="611">
      <c r="K611" s="17"/>
    </row>
    <row r="612">
      <c r="K612" s="17"/>
    </row>
    <row r="613">
      <c r="K613" s="17"/>
    </row>
    <row r="614">
      <c r="K614" s="17"/>
    </row>
    <row r="615">
      <c r="K615" s="17"/>
    </row>
    <row r="616">
      <c r="K616" s="17"/>
    </row>
    <row r="617">
      <c r="K617" s="17"/>
    </row>
    <row r="618">
      <c r="K618" s="17"/>
    </row>
    <row r="619">
      <c r="K619" s="17"/>
    </row>
    <row r="620">
      <c r="K620" s="17"/>
    </row>
    <row r="621">
      <c r="K621" s="17"/>
    </row>
    <row r="622">
      <c r="K622" s="17"/>
    </row>
    <row r="623">
      <c r="K623" s="17"/>
    </row>
    <row r="624">
      <c r="K624" s="17"/>
    </row>
    <row r="625">
      <c r="K625" s="17"/>
    </row>
    <row r="626">
      <c r="K626" s="17"/>
    </row>
    <row r="627">
      <c r="K627" s="17"/>
    </row>
    <row r="628">
      <c r="K628" s="17"/>
    </row>
    <row r="629">
      <c r="K629" s="17"/>
    </row>
    <row r="630">
      <c r="K630" s="17"/>
    </row>
    <row r="631">
      <c r="K631" s="17"/>
    </row>
    <row r="632">
      <c r="K632" s="17"/>
    </row>
    <row r="633">
      <c r="K633" s="17"/>
    </row>
    <row r="634">
      <c r="K634" s="17"/>
    </row>
    <row r="635">
      <c r="K635" s="17"/>
    </row>
    <row r="636">
      <c r="K636" s="17"/>
    </row>
    <row r="637">
      <c r="K637" s="17"/>
    </row>
    <row r="638">
      <c r="K638" s="17"/>
    </row>
    <row r="639">
      <c r="K639" s="17"/>
    </row>
    <row r="640">
      <c r="K640" s="17"/>
    </row>
    <row r="641">
      <c r="K641" s="17"/>
    </row>
    <row r="642">
      <c r="K642" s="17"/>
    </row>
    <row r="643">
      <c r="K643" s="17"/>
    </row>
    <row r="644">
      <c r="K644" s="17"/>
    </row>
    <row r="645">
      <c r="K645" s="17"/>
    </row>
    <row r="646">
      <c r="K646" s="17"/>
    </row>
    <row r="647">
      <c r="K647" s="17"/>
    </row>
    <row r="648">
      <c r="K648" s="17"/>
    </row>
    <row r="649">
      <c r="K649" s="17"/>
    </row>
    <row r="650">
      <c r="K650" s="17"/>
    </row>
    <row r="651">
      <c r="K651" s="17"/>
    </row>
    <row r="652">
      <c r="K652" s="17"/>
    </row>
    <row r="653">
      <c r="K653" s="17"/>
    </row>
    <row r="654">
      <c r="K654" s="17"/>
    </row>
    <row r="655">
      <c r="K655" s="17"/>
    </row>
    <row r="656">
      <c r="K656" s="17"/>
    </row>
    <row r="657">
      <c r="K657" s="17"/>
    </row>
    <row r="658">
      <c r="K658" s="17"/>
    </row>
    <row r="659">
      <c r="K659" s="17"/>
    </row>
    <row r="660">
      <c r="K660" s="17"/>
    </row>
    <row r="661">
      <c r="K661" s="17"/>
    </row>
    <row r="662">
      <c r="K662" s="17"/>
    </row>
    <row r="663">
      <c r="K663" s="17"/>
    </row>
    <row r="664">
      <c r="K664" s="17"/>
    </row>
    <row r="665">
      <c r="K665" s="17"/>
    </row>
    <row r="666">
      <c r="K666" s="17"/>
    </row>
    <row r="667">
      <c r="K667" s="17"/>
    </row>
    <row r="668">
      <c r="K668" s="17"/>
    </row>
    <row r="669">
      <c r="K669" s="17"/>
    </row>
    <row r="670">
      <c r="K670" s="17"/>
    </row>
    <row r="671">
      <c r="K671" s="17"/>
    </row>
    <row r="672">
      <c r="K672" s="17"/>
    </row>
    <row r="673">
      <c r="K673" s="17"/>
    </row>
    <row r="674">
      <c r="K674" s="17"/>
    </row>
    <row r="675">
      <c r="K675" s="17"/>
    </row>
    <row r="676">
      <c r="K676" s="17"/>
    </row>
    <row r="677">
      <c r="K677" s="17"/>
    </row>
    <row r="678">
      <c r="K678" s="17"/>
    </row>
    <row r="679">
      <c r="K679" s="17"/>
    </row>
    <row r="680">
      <c r="K680" s="17"/>
    </row>
    <row r="681">
      <c r="K681" s="17"/>
    </row>
    <row r="682">
      <c r="K682" s="17"/>
    </row>
    <row r="683">
      <c r="K683" s="17"/>
    </row>
    <row r="684">
      <c r="K684" s="17"/>
    </row>
    <row r="685">
      <c r="K685" s="17"/>
    </row>
    <row r="686">
      <c r="K686" s="17"/>
    </row>
    <row r="687">
      <c r="K687" s="17"/>
    </row>
    <row r="688">
      <c r="K688" s="17"/>
    </row>
    <row r="689">
      <c r="K689" s="17"/>
    </row>
    <row r="690">
      <c r="K690" s="17"/>
    </row>
    <row r="691">
      <c r="K691" s="17"/>
    </row>
    <row r="692">
      <c r="K692" s="17"/>
    </row>
    <row r="693">
      <c r="K693" s="17"/>
    </row>
    <row r="694">
      <c r="K694" s="17"/>
    </row>
    <row r="695">
      <c r="K695" s="17"/>
    </row>
    <row r="696">
      <c r="K696" s="17"/>
    </row>
    <row r="697">
      <c r="K697" s="17"/>
    </row>
    <row r="698">
      <c r="K698" s="17"/>
    </row>
    <row r="699">
      <c r="K699" s="17"/>
    </row>
    <row r="700">
      <c r="K700" s="17"/>
    </row>
    <row r="701">
      <c r="K701" s="17"/>
    </row>
    <row r="702">
      <c r="K702" s="17"/>
    </row>
    <row r="703">
      <c r="K703" s="17"/>
    </row>
    <row r="704">
      <c r="K704" s="17"/>
    </row>
    <row r="705">
      <c r="K705" s="17"/>
    </row>
    <row r="706">
      <c r="K706" s="17"/>
    </row>
    <row r="707">
      <c r="K707" s="17"/>
    </row>
    <row r="708">
      <c r="K708" s="17"/>
    </row>
    <row r="709">
      <c r="K709" s="17"/>
    </row>
    <row r="710">
      <c r="K710" s="17"/>
    </row>
    <row r="711">
      <c r="K711" s="17"/>
    </row>
    <row r="712">
      <c r="K712" s="17"/>
    </row>
    <row r="713">
      <c r="K713" s="17"/>
    </row>
    <row r="714">
      <c r="K714" s="17"/>
    </row>
    <row r="715">
      <c r="K715" s="17"/>
    </row>
    <row r="716">
      <c r="K716" s="17"/>
    </row>
    <row r="717">
      <c r="K717" s="17"/>
    </row>
    <row r="718">
      <c r="K718" s="17"/>
    </row>
    <row r="719">
      <c r="K719" s="17"/>
    </row>
    <row r="720">
      <c r="K720" s="17"/>
    </row>
    <row r="721">
      <c r="K721" s="17"/>
    </row>
    <row r="722">
      <c r="K722" s="17"/>
    </row>
    <row r="723">
      <c r="K723" s="17"/>
    </row>
    <row r="724">
      <c r="K724" s="17"/>
    </row>
    <row r="725">
      <c r="K725" s="17"/>
    </row>
    <row r="726">
      <c r="K726" s="17"/>
    </row>
    <row r="727">
      <c r="K727" s="17"/>
    </row>
    <row r="728">
      <c r="K728" s="17"/>
    </row>
    <row r="729">
      <c r="K729" s="17"/>
    </row>
    <row r="730">
      <c r="K730" s="17"/>
    </row>
    <row r="731">
      <c r="K731" s="17"/>
    </row>
    <row r="732">
      <c r="K732" s="17"/>
    </row>
    <row r="733">
      <c r="K733" s="17"/>
    </row>
    <row r="734">
      <c r="K734" s="17"/>
    </row>
    <row r="735">
      <c r="K735" s="17"/>
    </row>
    <row r="736">
      <c r="K736" s="17"/>
    </row>
    <row r="737">
      <c r="K737" s="17"/>
    </row>
    <row r="738">
      <c r="K738" s="17"/>
    </row>
    <row r="739">
      <c r="K739" s="17"/>
    </row>
    <row r="740">
      <c r="K740" s="17"/>
    </row>
    <row r="741">
      <c r="K741" s="17"/>
    </row>
    <row r="742">
      <c r="K742" s="17"/>
    </row>
    <row r="743">
      <c r="K743" s="17"/>
    </row>
    <row r="744">
      <c r="K744" s="17"/>
    </row>
    <row r="745">
      <c r="K745" s="17"/>
    </row>
    <row r="746">
      <c r="K746" s="17"/>
    </row>
    <row r="747">
      <c r="K747" s="17"/>
    </row>
    <row r="748">
      <c r="K748" s="17"/>
    </row>
    <row r="749">
      <c r="K749" s="17"/>
    </row>
    <row r="750">
      <c r="K750" s="17"/>
    </row>
    <row r="751">
      <c r="K751" s="17"/>
    </row>
    <row r="752">
      <c r="K752" s="17"/>
    </row>
    <row r="753">
      <c r="K753" s="17"/>
    </row>
    <row r="754">
      <c r="K754" s="17"/>
    </row>
    <row r="755">
      <c r="K755" s="17"/>
    </row>
    <row r="756">
      <c r="K756" s="17"/>
    </row>
    <row r="757">
      <c r="K757" s="17"/>
    </row>
    <row r="758">
      <c r="K758" s="17"/>
    </row>
    <row r="759">
      <c r="K759" s="17"/>
    </row>
    <row r="760">
      <c r="K760" s="17"/>
    </row>
    <row r="761">
      <c r="K761" s="17"/>
    </row>
    <row r="762">
      <c r="K762" s="17"/>
    </row>
    <row r="763">
      <c r="K763" s="17"/>
    </row>
    <row r="764">
      <c r="K764" s="17"/>
    </row>
    <row r="765">
      <c r="K765" s="17"/>
    </row>
    <row r="766">
      <c r="K766" s="17"/>
    </row>
    <row r="767">
      <c r="K767" s="17"/>
    </row>
    <row r="768">
      <c r="K768" s="17"/>
    </row>
    <row r="769">
      <c r="K769" s="17"/>
    </row>
    <row r="770">
      <c r="K770" s="17"/>
    </row>
    <row r="771">
      <c r="K771" s="17"/>
    </row>
    <row r="772">
      <c r="K772" s="17"/>
    </row>
    <row r="773">
      <c r="K773" s="17"/>
    </row>
    <row r="774">
      <c r="K774" s="17"/>
    </row>
    <row r="775">
      <c r="K775" s="17"/>
    </row>
    <row r="776">
      <c r="K776" s="17"/>
    </row>
    <row r="777">
      <c r="K777" s="17"/>
    </row>
    <row r="778">
      <c r="K778" s="17"/>
    </row>
    <row r="779">
      <c r="K779" s="17"/>
    </row>
    <row r="780">
      <c r="K780" s="17"/>
    </row>
    <row r="781">
      <c r="K781" s="17"/>
    </row>
    <row r="782">
      <c r="K782" s="17"/>
    </row>
    <row r="783">
      <c r="K783" s="17"/>
    </row>
    <row r="784">
      <c r="K784" s="17"/>
    </row>
    <row r="785">
      <c r="K785" s="17"/>
    </row>
    <row r="786">
      <c r="K786" s="17"/>
    </row>
    <row r="787">
      <c r="K787" s="17"/>
    </row>
    <row r="788">
      <c r="K788" s="17"/>
    </row>
    <row r="789">
      <c r="K789" s="17"/>
    </row>
    <row r="790">
      <c r="K790" s="17"/>
    </row>
    <row r="791">
      <c r="K791" s="17"/>
    </row>
    <row r="792">
      <c r="K792" s="17"/>
    </row>
    <row r="793">
      <c r="K793" s="17"/>
    </row>
    <row r="794">
      <c r="K794" s="17"/>
    </row>
    <row r="795">
      <c r="K795" s="17"/>
    </row>
    <row r="796">
      <c r="K796" s="17"/>
    </row>
    <row r="797">
      <c r="K797" s="17"/>
    </row>
    <row r="798">
      <c r="K798" s="17"/>
    </row>
    <row r="799">
      <c r="K799" s="17"/>
    </row>
    <row r="800">
      <c r="K800" s="17"/>
    </row>
    <row r="801">
      <c r="K801" s="17"/>
    </row>
    <row r="802">
      <c r="K802" s="17"/>
    </row>
    <row r="803">
      <c r="K803" s="17"/>
    </row>
    <row r="804">
      <c r="K804" s="17"/>
    </row>
    <row r="805">
      <c r="K805" s="17"/>
    </row>
    <row r="806">
      <c r="K806" s="17"/>
    </row>
    <row r="807">
      <c r="K807" s="17"/>
    </row>
    <row r="808">
      <c r="K808" s="17"/>
    </row>
    <row r="809">
      <c r="K809" s="17"/>
    </row>
    <row r="810">
      <c r="K810" s="17"/>
    </row>
    <row r="811">
      <c r="K811" s="17"/>
    </row>
    <row r="812">
      <c r="K812" s="17"/>
    </row>
    <row r="813">
      <c r="K813" s="17"/>
    </row>
    <row r="814">
      <c r="K814" s="17"/>
    </row>
    <row r="815">
      <c r="K815" s="17"/>
    </row>
    <row r="816">
      <c r="K816" s="17"/>
    </row>
    <row r="817">
      <c r="K817" s="17"/>
    </row>
    <row r="818">
      <c r="K818" s="17"/>
    </row>
    <row r="819">
      <c r="K819" s="17"/>
    </row>
    <row r="820">
      <c r="K820" s="17"/>
    </row>
    <row r="821">
      <c r="K821" s="17"/>
    </row>
    <row r="822">
      <c r="K822" s="17"/>
    </row>
    <row r="823">
      <c r="K823" s="17"/>
    </row>
    <row r="824">
      <c r="K824" s="17"/>
    </row>
    <row r="825">
      <c r="K825" s="17"/>
    </row>
    <row r="826">
      <c r="K826" s="17"/>
    </row>
    <row r="827">
      <c r="K827" s="17"/>
    </row>
    <row r="828">
      <c r="K828" s="17"/>
    </row>
    <row r="829">
      <c r="K829" s="17"/>
    </row>
    <row r="830">
      <c r="K830" s="17"/>
    </row>
    <row r="831">
      <c r="K831" s="17"/>
    </row>
    <row r="832">
      <c r="K832" s="17"/>
    </row>
    <row r="833">
      <c r="K833" s="17"/>
    </row>
    <row r="834">
      <c r="K834" s="17"/>
    </row>
    <row r="835">
      <c r="K835" s="17"/>
    </row>
    <row r="836">
      <c r="K836" s="17"/>
    </row>
    <row r="837">
      <c r="K837" s="17"/>
    </row>
    <row r="838">
      <c r="K838" s="17"/>
    </row>
    <row r="839">
      <c r="K839" s="17"/>
    </row>
    <row r="840">
      <c r="K840" s="17"/>
    </row>
    <row r="841">
      <c r="K841" s="17"/>
    </row>
    <row r="842">
      <c r="K842" s="17"/>
    </row>
    <row r="843">
      <c r="K843" s="17"/>
    </row>
    <row r="844">
      <c r="K844" s="17"/>
    </row>
    <row r="845">
      <c r="K845" s="17"/>
    </row>
    <row r="846">
      <c r="K846" s="17"/>
    </row>
    <row r="847">
      <c r="K847" s="17"/>
    </row>
    <row r="848">
      <c r="K848" s="17"/>
    </row>
    <row r="849">
      <c r="K849" s="17"/>
    </row>
    <row r="850">
      <c r="K850" s="17"/>
    </row>
    <row r="851">
      <c r="K851" s="17"/>
    </row>
    <row r="852">
      <c r="K852" s="17"/>
    </row>
    <row r="853">
      <c r="K853" s="17"/>
    </row>
    <row r="854">
      <c r="K854" s="17"/>
    </row>
    <row r="855">
      <c r="K855" s="17"/>
    </row>
    <row r="856">
      <c r="K856" s="17"/>
    </row>
    <row r="857">
      <c r="K857" s="17"/>
    </row>
    <row r="858">
      <c r="K858" s="17"/>
    </row>
    <row r="859">
      <c r="K859" s="17"/>
    </row>
    <row r="860">
      <c r="K860" s="17"/>
    </row>
    <row r="861">
      <c r="K861" s="17"/>
    </row>
    <row r="862">
      <c r="K862" s="17"/>
    </row>
    <row r="863">
      <c r="K863" s="17"/>
    </row>
    <row r="864">
      <c r="K864" s="17"/>
    </row>
    <row r="865">
      <c r="K865" s="17"/>
    </row>
    <row r="866">
      <c r="K866" s="17"/>
    </row>
    <row r="867">
      <c r="K867" s="17"/>
    </row>
    <row r="868">
      <c r="K868" s="17"/>
    </row>
    <row r="869">
      <c r="K869" s="17"/>
    </row>
    <row r="870">
      <c r="K870" s="17"/>
    </row>
    <row r="871">
      <c r="K871" s="17"/>
    </row>
    <row r="872">
      <c r="K872" s="17"/>
    </row>
    <row r="873">
      <c r="K873" s="17"/>
    </row>
    <row r="874">
      <c r="K874" s="17"/>
    </row>
    <row r="875">
      <c r="K875" s="17"/>
    </row>
    <row r="876">
      <c r="K876" s="17"/>
    </row>
    <row r="877">
      <c r="K877" s="17"/>
    </row>
    <row r="878">
      <c r="K878" s="17"/>
    </row>
    <row r="879">
      <c r="K879" s="17"/>
    </row>
    <row r="880">
      <c r="K880" s="17"/>
    </row>
    <row r="881">
      <c r="K881" s="17"/>
    </row>
    <row r="882">
      <c r="K882" s="17"/>
    </row>
    <row r="883">
      <c r="K883" s="17"/>
    </row>
    <row r="884">
      <c r="K884" s="17"/>
    </row>
    <row r="885">
      <c r="K885" s="17"/>
    </row>
    <row r="886">
      <c r="K886" s="17"/>
    </row>
    <row r="887">
      <c r="K887" s="17"/>
    </row>
    <row r="888">
      <c r="K888" s="17"/>
    </row>
    <row r="889">
      <c r="K889" s="17"/>
    </row>
    <row r="890">
      <c r="K890" s="17"/>
    </row>
    <row r="891">
      <c r="K891" s="17"/>
    </row>
    <row r="892">
      <c r="K892" s="17"/>
    </row>
    <row r="893">
      <c r="K893" s="17"/>
    </row>
    <row r="894">
      <c r="K894" s="17"/>
    </row>
    <row r="895">
      <c r="K895" s="17"/>
    </row>
    <row r="896">
      <c r="K896" s="17"/>
    </row>
    <row r="897">
      <c r="K897" s="17"/>
    </row>
    <row r="898">
      <c r="K898" s="17"/>
    </row>
    <row r="899">
      <c r="K899" s="17"/>
    </row>
    <row r="900">
      <c r="K900" s="17"/>
    </row>
    <row r="901">
      <c r="K901" s="17"/>
    </row>
    <row r="902">
      <c r="K902" s="17"/>
    </row>
    <row r="903">
      <c r="K903" s="17"/>
    </row>
    <row r="904">
      <c r="K904" s="17"/>
    </row>
    <row r="905">
      <c r="K905" s="17"/>
    </row>
    <row r="906">
      <c r="K906" s="17"/>
    </row>
    <row r="907">
      <c r="K907" s="17"/>
    </row>
    <row r="908">
      <c r="K908" s="17"/>
    </row>
    <row r="909">
      <c r="K909" s="17"/>
    </row>
    <row r="910">
      <c r="K910" s="17"/>
    </row>
    <row r="911">
      <c r="K911" s="17"/>
    </row>
    <row r="912">
      <c r="K912" s="17"/>
    </row>
    <row r="913">
      <c r="K913" s="17"/>
    </row>
    <row r="914">
      <c r="K914" s="17"/>
    </row>
    <row r="915">
      <c r="K915" s="17"/>
    </row>
    <row r="916">
      <c r="K916" s="17"/>
    </row>
    <row r="917">
      <c r="K917" s="17"/>
    </row>
    <row r="918">
      <c r="K918" s="17"/>
    </row>
    <row r="919">
      <c r="K919" s="17"/>
    </row>
    <row r="920">
      <c r="K920" s="17"/>
    </row>
    <row r="921">
      <c r="K921" s="17"/>
    </row>
    <row r="922">
      <c r="K922" s="17"/>
    </row>
    <row r="923">
      <c r="K923" s="17"/>
    </row>
    <row r="924">
      <c r="K924" s="17"/>
    </row>
    <row r="925">
      <c r="K925" s="17"/>
    </row>
    <row r="926">
      <c r="K926" s="17"/>
    </row>
    <row r="927">
      <c r="K927" s="17"/>
    </row>
    <row r="928">
      <c r="K928" s="17"/>
    </row>
    <row r="929">
      <c r="K929" s="17"/>
    </row>
    <row r="930">
      <c r="K930" s="17"/>
    </row>
    <row r="931">
      <c r="K931" s="17"/>
    </row>
    <row r="932">
      <c r="K932" s="17"/>
    </row>
    <row r="933">
      <c r="K933" s="17"/>
    </row>
    <row r="934">
      <c r="K934" s="17"/>
    </row>
    <row r="935">
      <c r="K935" s="17"/>
    </row>
    <row r="936">
      <c r="K936" s="17"/>
    </row>
    <row r="937">
      <c r="K937" s="17"/>
    </row>
    <row r="938">
      <c r="K938" s="17"/>
    </row>
    <row r="939">
      <c r="K939" s="17"/>
    </row>
    <row r="940">
      <c r="K940" s="17"/>
    </row>
    <row r="941">
      <c r="K941" s="17"/>
    </row>
    <row r="942">
      <c r="K942" s="17"/>
    </row>
    <row r="943">
      <c r="K943" s="17"/>
    </row>
    <row r="944">
      <c r="K944" s="17"/>
    </row>
    <row r="945">
      <c r="K945" s="17"/>
    </row>
    <row r="946">
      <c r="K946" s="17"/>
    </row>
    <row r="947">
      <c r="K947" s="17"/>
    </row>
    <row r="948">
      <c r="K948" s="17"/>
    </row>
    <row r="949">
      <c r="K949" s="17"/>
    </row>
    <row r="950">
      <c r="K950" s="17"/>
    </row>
    <row r="951">
      <c r="K951" s="17"/>
    </row>
    <row r="952">
      <c r="K952" s="17"/>
    </row>
    <row r="953">
      <c r="K953" s="17"/>
    </row>
    <row r="954">
      <c r="K954" s="17"/>
    </row>
    <row r="955">
      <c r="K955" s="17"/>
    </row>
    <row r="956">
      <c r="K956" s="17"/>
    </row>
    <row r="957">
      <c r="K957" s="17"/>
    </row>
    <row r="958">
      <c r="K958" s="17"/>
    </row>
    <row r="959">
      <c r="K959" s="17"/>
    </row>
    <row r="960">
      <c r="K960" s="17"/>
    </row>
    <row r="961">
      <c r="K961" s="17"/>
    </row>
    <row r="962">
      <c r="K962" s="17"/>
    </row>
    <row r="963">
      <c r="K963" s="17"/>
    </row>
    <row r="964">
      <c r="K964" s="17"/>
    </row>
    <row r="965">
      <c r="K965" s="17"/>
    </row>
    <row r="966">
      <c r="K966" s="17"/>
    </row>
    <row r="967">
      <c r="K967" s="17"/>
    </row>
    <row r="968">
      <c r="K968" s="17"/>
    </row>
    <row r="969">
      <c r="K969" s="17"/>
    </row>
    <row r="970">
      <c r="K970" s="17"/>
    </row>
    <row r="971">
      <c r="K971" s="17"/>
    </row>
    <row r="972">
      <c r="K972" s="17"/>
    </row>
    <row r="973">
      <c r="K973" s="17"/>
    </row>
    <row r="974">
      <c r="K974" s="17"/>
    </row>
    <row r="975">
      <c r="K975" s="17"/>
    </row>
    <row r="976">
      <c r="K976" s="17"/>
    </row>
    <row r="977">
      <c r="K977" s="17"/>
    </row>
    <row r="978">
      <c r="K978" s="17"/>
    </row>
    <row r="979">
      <c r="K979" s="17"/>
    </row>
    <row r="980">
      <c r="K980" s="17"/>
    </row>
    <row r="981">
      <c r="K981" s="17"/>
    </row>
    <row r="982">
      <c r="K982" s="17"/>
    </row>
    <row r="983">
      <c r="K983" s="17"/>
    </row>
    <row r="984">
      <c r="K984" s="17"/>
    </row>
    <row r="985">
      <c r="K985" s="17"/>
    </row>
    <row r="986">
      <c r="K986" s="17"/>
    </row>
    <row r="987">
      <c r="K987" s="17"/>
    </row>
    <row r="988">
      <c r="K988" s="17"/>
    </row>
    <row r="989">
      <c r="K989" s="17"/>
    </row>
    <row r="990">
      <c r="K990" s="17"/>
    </row>
    <row r="991">
      <c r="K991" s="17"/>
    </row>
    <row r="992">
      <c r="K992" s="17"/>
    </row>
    <row r="993">
      <c r="K993" s="17"/>
    </row>
    <row r="994">
      <c r="K994" s="17"/>
    </row>
    <row r="995">
      <c r="K995" s="17"/>
    </row>
    <row r="996">
      <c r="K996" s="17"/>
    </row>
    <row r="997">
      <c r="K997" s="17"/>
    </row>
  </sheetData>
  <mergeCells count="29">
    <mergeCell ref="F10:G10"/>
    <mergeCell ref="H10:I10"/>
    <mergeCell ref="B1:H2"/>
    <mergeCell ref="B4:J4"/>
    <mergeCell ref="D9:E9"/>
    <mergeCell ref="F9:G9"/>
    <mergeCell ref="H9:I9"/>
    <mergeCell ref="B10:C10"/>
    <mergeCell ref="D10:E10"/>
    <mergeCell ref="B11:C11"/>
    <mergeCell ref="D11:E11"/>
    <mergeCell ref="F11:G11"/>
    <mergeCell ref="H11:I11"/>
    <mergeCell ref="D12:E12"/>
    <mergeCell ref="F12:G12"/>
    <mergeCell ref="H12:I12"/>
    <mergeCell ref="F14:G14"/>
    <mergeCell ref="H14:I14"/>
    <mergeCell ref="B15:C15"/>
    <mergeCell ref="D15:E15"/>
    <mergeCell ref="F15:G15"/>
    <mergeCell ref="H15:I15"/>
    <mergeCell ref="B12:C12"/>
    <mergeCell ref="B13:C13"/>
    <mergeCell ref="D13:E13"/>
    <mergeCell ref="F13:G13"/>
    <mergeCell ref="H13:I13"/>
    <mergeCell ref="B14:C14"/>
    <mergeCell ref="D14:E14"/>
  </mergeCells>
  <dataValidations>
    <dataValidation type="list" allowBlank="1" showErrorMessage="1" sqref="J2">
      <formula1>Budgeting!$E$2:$P$2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75"/>
    <col customWidth="1" min="2" max="2" width="4.63"/>
    <col customWidth="1" min="3" max="3" width="17.25"/>
    <col customWidth="1" min="4" max="4" width="23.38"/>
    <col customWidth="1" min="5" max="5" width="13.38"/>
    <col customWidth="1" min="6" max="6" width="15.13"/>
    <col customWidth="1" min="7" max="7" width="17.25"/>
    <col customWidth="1" min="8" max="8" width="13.63"/>
  </cols>
  <sheetData>
    <row r="1" ht="22.5" customHeight="1">
      <c r="D1" s="82"/>
    </row>
    <row r="2">
      <c r="A2" s="83"/>
      <c r="B2" s="84" t="s">
        <v>84</v>
      </c>
      <c r="C2" s="85">
        <v>2026.0</v>
      </c>
      <c r="D2" s="86"/>
      <c r="E2" s="85" t="s">
        <v>95</v>
      </c>
      <c r="F2" s="87"/>
      <c r="G2" s="88" t="s">
        <v>0</v>
      </c>
      <c r="H2" s="84" t="s">
        <v>3</v>
      </c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36.0" customHeight="1">
      <c r="A3" s="89"/>
      <c r="B3" s="90" t="s">
        <v>96</v>
      </c>
      <c r="C3" s="91"/>
      <c r="D3" s="91"/>
      <c r="E3" s="91"/>
      <c r="F3" s="91"/>
      <c r="G3" s="91"/>
      <c r="H3" s="91"/>
      <c r="I3" s="92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ht="18.75" customHeight="1"/>
    <row r="5" ht="21.0" customHeight="1">
      <c r="B5" s="93" t="s">
        <v>20</v>
      </c>
      <c r="C5" s="94"/>
      <c r="D5" s="95">
        <f>SUMPRODUCT((Budgeting!$C:$C=B5)*(Budgeting!$E$2:$P$2=$H$2),Budgeting!$E:$P)</f>
        <v>5861342</v>
      </c>
      <c r="E5" s="96" t="s">
        <v>97</v>
      </c>
      <c r="F5" s="97">
        <f>SUMPRODUCT((Budgeting!$D:$D=E5)*(Budgeting!$E$2:$P$2=$H$2),Budgeting!$E:$P)</f>
        <v>0</v>
      </c>
      <c r="G5" s="98" t="s">
        <v>16</v>
      </c>
      <c r="H5" s="99">
        <f>VLOOKUP("Total Income",Budgeting!B:P,MATCH($H$2,Budgeting!$B$2:$P$2,0),0)</f>
        <v>5969800</v>
      </c>
    </row>
    <row r="6" ht="21.0" customHeight="1">
      <c r="B6" s="100" t="s">
        <v>19</v>
      </c>
      <c r="C6" s="94"/>
      <c r="D6" s="95">
        <f>SUMPRODUCT((Budgeting!$C:$C=B6)*(Budgeting!$E$2:$P$2=$H$2),Budgeting!$E:$P)</f>
        <v>192984</v>
      </c>
      <c r="E6" s="101" t="s">
        <v>98</v>
      </c>
      <c r="F6" s="97">
        <f>SUMPRODUCT((Budgeting!$D:$D=E6)*(Budgeting!$E$2:$P$2=$H$2),Budgeting!$E:$P)</f>
        <v>0</v>
      </c>
      <c r="G6" s="98" t="s">
        <v>99</v>
      </c>
      <c r="H6" s="99">
        <f>VLOOKUP("Non-allocated Money",Budgeting!B:P,MATCH($H$2,Budgeting!$B$2:$P$2,0),0)</f>
        <v>-84526</v>
      </c>
    </row>
    <row r="7" ht="21.0" customHeight="1">
      <c r="B7" s="102" t="s">
        <v>100</v>
      </c>
      <c r="C7" s="94"/>
      <c r="D7" s="95">
        <f>SUMPRODUCT((Budgeting!$C:$C=B7)*(Budgeting!$E$2:$P$2=$H$2),Budgeting!$E:$P)</f>
        <v>0</v>
      </c>
      <c r="E7" s="103" t="s">
        <v>101</v>
      </c>
      <c r="F7" s="97">
        <f>SUMPRODUCT((Budgeting!$D:$D=E7)*(Budgeting!$E$2:$P$2=$H$2),Budgeting!$E:$P)</f>
        <v>0</v>
      </c>
      <c r="G7" s="98" t="s">
        <v>102</v>
      </c>
      <c r="H7" s="104">
        <f>VLOOKUP("Allocated Money",Budgeting!B:P,MATCH($H$2,Budgeting!$B$2:$P$2,0),0)</f>
        <v>1.014158933</v>
      </c>
    </row>
    <row r="9" ht="39.0" customHeight="1">
      <c r="A9" s="105"/>
      <c r="B9" s="106" t="s">
        <v>1</v>
      </c>
      <c r="D9" s="106" t="s">
        <v>103</v>
      </c>
      <c r="E9" s="106" t="s">
        <v>2</v>
      </c>
      <c r="F9" s="107" t="s">
        <v>104</v>
      </c>
      <c r="H9" s="106" t="s">
        <v>105</v>
      </c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</row>
    <row r="10" ht="15.75" customHeight="1">
      <c r="B10" s="108" t="s">
        <v>106</v>
      </c>
      <c r="C10" s="109"/>
    </row>
    <row r="11">
      <c r="A11" s="23"/>
      <c r="B11" s="110" t="b">
        <v>0</v>
      </c>
      <c r="C11" s="111" t="s">
        <v>19</v>
      </c>
      <c r="D11" s="112" t="s">
        <v>107</v>
      </c>
      <c r="E11" s="113" t="s">
        <v>101</v>
      </c>
      <c r="F11" s="114">
        <f>IFERROR(VLOOKUP(D11,Budgeting!B:P,MATCH($H$2,Budgeting!$E$2:$P$2,0)+3,0),"")</f>
        <v>192984</v>
      </c>
      <c r="H11" s="115">
        <f t="shared" ref="H11:H19" si="1">IFERROR(F11/$H$5,"")</f>
        <v>0.03232671111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23"/>
      <c r="B12" s="23" t="b">
        <v>0</v>
      </c>
      <c r="C12" s="111" t="s">
        <v>20</v>
      </c>
      <c r="D12" s="112" t="s">
        <v>108</v>
      </c>
      <c r="E12" s="113" t="s">
        <v>101</v>
      </c>
      <c r="F12" s="114" t="str">
        <f>IFERROR(VLOOKUP(D12,Budgeting!B:P,MATCH($H$2,Budgeting!$E$2:$P$2,0)+3,0),"")</f>
        <v/>
      </c>
      <c r="H12" s="115">
        <f t="shared" si="1"/>
        <v>0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23"/>
      <c r="B13" s="23" t="b">
        <v>0</v>
      </c>
      <c r="C13" s="111" t="s">
        <v>20</v>
      </c>
      <c r="D13" s="112" t="s">
        <v>65</v>
      </c>
      <c r="E13" s="113" t="s">
        <v>97</v>
      </c>
      <c r="F13" s="114">
        <f>IFERROR(VLOOKUP(D13,Budgeting!B:P,MATCH($H$2,Budgeting!$E$2:$P$2,0)+3,0),"")</f>
        <v>1500000</v>
      </c>
      <c r="H13" s="115">
        <f t="shared" si="1"/>
        <v>0.251264699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23"/>
      <c r="B14" s="23" t="b">
        <v>0</v>
      </c>
      <c r="C14" s="111" t="s">
        <v>20</v>
      </c>
      <c r="D14" s="112" t="s">
        <v>40</v>
      </c>
      <c r="E14" s="113" t="s">
        <v>97</v>
      </c>
      <c r="F14" s="114">
        <f>IFERROR(VLOOKUP(D14,Budgeting!B:P,MATCH($H$2,Budgeting!$E$2:$P$2,0)+3,0),"")</f>
        <v>1354784</v>
      </c>
      <c r="H14" s="115">
        <f t="shared" si="1"/>
        <v>0.226939596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23"/>
      <c r="B15" s="23" t="b">
        <v>0</v>
      </c>
      <c r="C15" s="111" t="s">
        <v>20</v>
      </c>
      <c r="D15" s="112" t="s">
        <v>42</v>
      </c>
      <c r="E15" s="113" t="s">
        <v>97</v>
      </c>
      <c r="F15" s="114">
        <f>IFERROR(VLOOKUP(D15,Budgeting!B:P,MATCH($H$2,Budgeting!$E$2:$P$2,0)+3,0),"")</f>
        <v>175402</v>
      </c>
      <c r="H15" s="115">
        <f t="shared" si="1"/>
        <v>0.02938155382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3"/>
      <c r="B16" s="23" t="b">
        <v>0</v>
      </c>
      <c r="C16" s="111" t="s">
        <v>20</v>
      </c>
      <c r="D16" s="112" t="s">
        <v>109</v>
      </c>
      <c r="E16" s="113" t="s">
        <v>98</v>
      </c>
      <c r="F16" s="114">
        <f>IFERROR(VLOOKUP(D16,Budgeting!B:P,MATCH($H$2,Budgeting!$E$2:$P$2,0)+3,0),"")</f>
        <v>154500</v>
      </c>
      <c r="H16" s="115">
        <f t="shared" si="1"/>
        <v>0.025880264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3"/>
      <c r="B17" s="23" t="b">
        <v>0</v>
      </c>
      <c r="C17" s="111" t="s">
        <v>20</v>
      </c>
      <c r="D17" s="112" t="s">
        <v>32</v>
      </c>
      <c r="E17" s="113" t="s">
        <v>97</v>
      </c>
      <c r="F17" s="114">
        <f>IFERROR(VLOOKUP(D17,Budgeting!B:P,MATCH($H$2,Budgeting!$E$2:$P$2,0)+3,0),"")</f>
        <v>1100000</v>
      </c>
      <c r="H17" s="115">
        <f t="shared" si="1"/>
        <v>0.1842607793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3"/>
      <c r="B18" s="23" t="b">
        <v>0</v>
      </c>
      <c r="C18" s="111" t="s">
        <v>20</v>
      </c>
      <c r="D18" s="112" t="s">
        <v>34</v>
      </c>
      <c r="E18" s="113" t="s">
        <v>98</v>
      </c>
      <c r="F18" s="114">
        <f>IFERROR(VLOOKUP(D18,Budgeting!B:P,MATCH($H$2,Budgeting!$E$2:$P$2,0)+3,0),"")</f>
        <v>1576656</v>
      </c>
      <c r="H18" s="115">
        <f t="shared" si="1"/>
        <v>0.2641053302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3"/>
      <c r="B19" s="110"/>
      <c r="C19" s="116"/>
      <c r="D19" s="112" t="s">
        <v>24</v>
      </c>
      <c r="E19" s="117"/>
      <c r="F19" s="114">
        <f>IFERROR(VLOOKUP(D19,Budgeting!B:P,MATCH($H$2,Budgeting!$E$2:$P$2,0)+3,0),"")</f>
        <v>5861342</v>
      </c>
      <c r="H19" s="115">
        <f t="shared" si="1"/>
        <v>0.9818322222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70">
      <c r="C70" s="4" t="s">
        <v>110</v>
      </c>
      <c r="D70" s="118">
        <v>45716.0</v>
      </c>
    </row>
  </sheetData>
  <mergeCells count="17">
    <mergeCell ref="E2:F2"/>
    <mergeCell ref="B3:H3"/>
    <mergeCell ref="B5:C5"/>
    <mergeCell ref="B6:C6"/>
    <mergeCell ref="B7:C7"/>
    <mergeCell ref="B9:C9"/>
    <mergeCell ref="C10:H10"/>
    <mergeCell ref="F17:G17"/>
    <mergeCell ref="F18:G18"/>
    <mergeCell ref="F19:G19"/>
    <mergeCell ref="F9:G9"/>
    <mergeCell ref="F11:G11"/>
    <mergeCell ref="F12:G12"/>
    <mergeCell ref="F13:G13"/>
    <mergeCell ref="F14:G14"/>
    <mergeCell ref="F15:G15"/>
    <mergeCell ref="F16:G16"/>
  </mergeCells>
  <conditionalFormatting sqref="C11:C19">
    <cfRule type="cellIs" dxfId="0" priority="1" operator="equal">
      <formula>"Bank BCA"</formula>
    </cfRule>
  </conditionalFormatting>
  <conditionalFormatting sqref="C11:C19">
    <cfRule type="cellIs" dxfId="1" priority="2" operator="equal">
      <formula>"Bank Mandiri"</formula>
    </cfRule>
  </conditionalFormatting>
  <conditionalFormatting sqref="C11:C19">
    <cfRule type="cellIs" dxfId="2" priority="3" operator="equal">
      <formula>"E-wallet Dana"</formula>
    </cfRule>
  </conditionalFormatting>
  <dataValidations>
    <dataValidation type="list" allowBlank="1" showErrorMessage="1" sqref="H2">
      <formula1>Budgeting!$E$2:$P$2</formula1>
    </dataValidation>
    <dataValidation type="list" allowBlank="1" showErrorMessage="1" sqref="E11:E18">
      <formula1>"Needs,Savings,Wants"</formula1>
    </dataValidation>
    <dataValidation type="list" allowBlank="1" showErrorMessage="1" sqref="C11:C18">
      <formula1>"Bank Mandiri,Bank Mandiri 2"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19" t="s">
        <v>111</v>
      </c>
      <c r="D1" s="4" t="s">
        <v>112</v>
      </c>
      <c r="E1" s="4" t="s">
        <v>113</v>
      </c>
      <c r="G1" s="4" t="s">
        <v>114</v>
      </c>
    </row>
    <row r="2">
      <c r="A2" s="4" t="s">
        <v>115</v>
      </c>
      <c r="B2" s="4" t="s">
        <v>116</v>
      </c>
      <c r="D2" s="4" t="s">
        <v>117</v>
      </c>
      <c r="E2" s="4" t="s">
        <v>118</v>
      </c>
      <c r="G2" s="4" t="s">
        <v>119</v>
      </c>
      <c r="I2" s="120"/>
    </row>
    <row r="3">
      <c r="A3" s="4" t="s">
        <v>65</v>
      </c>
      <c r="B3" s="4" t="s">
        <v>97</v>
      </c>
      <c r="D3" s="4" t="s">
        <v>20</v>
      </c>
      <c r="E3" s="4" t="s">
        <v>120</v>
      </c>
      <c r="G3" s="4" t="s">
        <v>107</v>
      </c>
    </row>
    <row r="4">
      <c r="A4" s="4" t="s">
        <v>40</v>
      </c>
      <c r="B4" s="4" t="s">
        <v>97</v>
      </c>
      <c r="D4" s="4" t="s">
        <v>19</v>
      </c>
      <c r="E4" s="4" t="s">
        <v>121</v>
      </c>
      <c r="G4" s="4" t="s">
        <v>108</v>
      </c>
    </row>
    <row r="5">
      <c r="A5" s="4" t="s">
        <v>42</v>
      </c>
      <c r="B5" s="4" t="s">
        <v>97</v>
      </c>
    </row>
    <row r="6">
      <c r="A6" s="4" t="s">
        <v>52</v>
      </c>
      <c r="B6" s="4" t="s">
        <v>98</v>
      </c>
    </row>
    <row r="7">
      <c r="A7" s="4" t="s">
        <v>32</v>
      </c>
      <c r="B7" s="4" t="s">
        <v>97</v>
      </c>
    </row>
    <row r="8">
      <c r="A8" s="4" t="s">
        <v>34</v>
      </c>
      <c r="B8" s="4" t="s">
        <v>98</v>
      </c>
    </row>
  </sheetData>
  <mergeCells count="1">
    <mergeCell ref="A1:B1"/>
  </mergeCells>
  <drawing r:id="rId1"/>
</worksheet>
</file>